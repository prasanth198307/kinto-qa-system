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santhdusi/"/>
    </mc:Choice>
  </mc:AlternateContent>
  <xr:revisionPtr revIDLastSave="0" documentId="13_ncr:1_{485815BC-7A7E-664C-92D2-AA4C012B5C8A}" xr6:coauthVersionLast="47" xr6:coauthVersionMax="47" xr10:uidLastSave="{00000000-0000-0000-0000-000000000000}"/>
  <bookViews>
    <workbookView xWindow="0" yWindow="680" windowWidth="30240" windowHeight="17240" xr2:uid="{F2F9089F-B22C-4C68-882C-520A09EC8EFE}"/>
  </bookViews>
  <sheets>
    <sheet name="July-25" sheetId="1" r:id="rId1"/>
    <sheet name="Aug-25" sheetId="2" r:id="rId2"/>
    <sheet name="Sep-25" sheetId="3" r:id="rId3"/>
    <sheet name="Oct-25" sheetId="4" r:id="rId4"/>
    <sheet name="Nov-25" sheetId="5" r:id="rId5"/>
    <sheet name="Dec-25" sheetId="6" r:id="rId6"/>
    <sheet name="Jan-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3" i="1" s="1"/>
  <c r="G3" i="1" s="1"/>
  <c r="C4" i="1" s="1"/>
  <c r="G4" i="1" s="1"/>
  <c r="C5" i="1" s="1"/>
  <c r="G5" i="1" s="1"/>
  <c r="C6" i="1" s="1"/>
  <c r="G6" i="1" s="1"/>
  <c r="C7" i="1" s="1"/>
  <c r="G7" i="1" s="1"/>
  <c r="C8" i="1" s="1"/>
  <c r="G8" i="1" s="1"/>
  <c r="C9" i="1" s="1"/>
  <c r="G9" i="1" s="1"/>
  <c r="C10" i="1" s="1"/>
  <c r="G10" i="1" s="1"/>
  <c r="C11" i="1" s="1"/>
  <c r="G11" i="1" s="1"/>
  <c r="C12" i="1" s="1"/>
  <c r="G12" i="1" l="1"/>
  <c r="C13" i="1" l="1"/>
  <c r="G13" i="1" s="1"/>
  <c r="C14" i="1" l="1"/>
  <c r="G14" i="1" s="1"/>
  <c r="C15" i="1" l="1"/>
  <c r="G15" i="1" s="1"/>
  <c r="C16" i="1" l="1"/>
  <c r="G16" i="1" s="1"/>
  <c r="C17" i="1" s="1"/>
  <c r="G17" i="1" s="1"/>
  <c r="C18" i="1" l="1"/>
  <c r="G18" i="1" s="1"/>
  <c r="C19" i="1" l="1"/>
  <c r="G19" i="1" s="1"/>
  <c r="C20" i="1" l="1"/>
  <c r="G20" i="1" s="1"/>
  <c r="C21" i="1" l="1"/>
  <c r="G21" i="1" s="1"/>
  <c r="C22" i="1" l="1"/>
  <c r="G22" i="1" s="1"/>
  <c r="C23" i="1" l="1"/>
  <c r="G23" i="1" s="1"/>
  <c r="C24" i="1" l="1"/>
  <c r="G24" i="1" s="1"/>
  <c r="C25" i="1" l="1"/>
  <c r="G25" i="1" s="1"/>
  <c r="C26" i="1" l="1"/>
  <c r="G26" i="1" s="1"/>
  <c r="C27" i="1" l="1"/>
  <c r="G27" i="1" s="1"/>
  <c r="C28" i="1" l="1"/>
  <c r="G28" i="1" s="1"/>
  <c r="C29" i="1" l="1"/>
  <c r="G29" i="1" s="1"/>
  <c r="C30" i="1" l="1"/>
  <c r="G30" i="1" s="1"/>
  <c r="C31" i="1" l="1"/>
  <c r="G31" i="1" s="1"/>
  <c r="C32" i="1" l="1"/>
  <c r="G32" i="1" s="1"/>
  <c r="C33" i="1" s="1"/>
  <c r="G33" i="1" l="1"/>
  <c r="C34" i="1" l="1"/>
  <c r="G34" i="1" s="1"/>
  <c r="C35" i="1" l="1"/>
  <c r="G35" i="1" s="1"/>
  <c r="C36" i="1" l="1"/>
  <c r="G36" i="1" s="1"/>
  <c r="C37" i="1" l="1"/>
  <c r="G37" i="1" s="1"/>
  <c r="C38" i="1" l="1"/>
  <c r="G38" i="1" s="1"/>
  <c r="C39" i="1" l="1"/>
  <c r="G39" i="1" s="1"/>
  <c r="C40" i="1" l="1"/>
  <c r="G40" i="1" s="1"/>
  <c r="C41" i="1" l="1"/>
  <c r="G41" i="1" s="1"/>
  <c r="C42" i="1" l="1"/>
  <c r="G42" i="1" s="1"/>
  <c r="C43" i="1" l="1"/>
  <c r="G43" i="1" s="1"/>
  <c r="C44" i="1" l="1"/>
  <c r="G44" i="1" s="1"/>
  <c r="C45" i="1" l="1"/>
  <c r="G45" i="1" s="1"/>
  <c r="C46" i="1" s="1"/>
  <c r="G46" i="1" s="1"/>
  <c r="C47" i="1" s="1"/>
  <c r="G47" i="1" s="1"/>
  <c r="C48" i="1" s="1"/>
  <c r="G48" i="1" s="1"/>
  <c r="C49" i="1" s="1"/>
  <c r="G49" i="1" s="1"/>
  <c r="C50" i="1" s="1"/>
  <c r="G50" i="1" s="1"/>
  <c r="C51" i="1" s="1"/>
  <c r="G51" i="1" s="1"/>
  <c r="C52" i="1" s="1"/>
  <c r="G52" i="1" s="1"/>
  <c r="C53" i="1" s="1"/>
  <c r="G53" i="1" s="1"/>
  <c r="C54" i="1" s="1"/>
  <c r="G54" i="1" s="1"/>
  <c r="C55" i="1" s="1"/>
  <c r="G55" i="1" s="1"/>
  <c r="C56" i="1" s="1"/>
  <c r="G56" i="1" s="1"/>
  <c r="C57" i="1" s="1"/>
  <c r="G57" i="1" s="1"/>
  <c r="C2" i="2" s="1"/>
  <c r="G2" i="2" s="1"/>
  <c r="C3" i="2" s="1"/>
  <c r="G3" i="2" s="1"/>
  <c r="C4" i="2" s="1"/>
  <c r="G4" i="2" s="1"/>
  <c r="C5" i="2" s="1"/>
  <c r="G5" i="2" s="1"/>
  <c r="C6" i="2" s="1"/>
  <c r="G6" i="2" s="1"/>
  <c r="C7" i="2" s="1"/>
  <c r="G7" i="2" s="1"/>
  <c r="C8" i="2" s="1"/>
  <c r="G8" i="2" s="1"/>
  <c r="C9" i="2" s="1"/>
  <c r="G9" i="2" s="1"/>
  <c r="C10" i="2" s="1"/>
  <c r="G10" i="2" s="1"/>
  <c r="C11" i="2" s="1"/>
  <c r="G11" i="2" s="1"/>
  <c r="C12" i="2" s="1"/>
  <c r="G12" i="2" s="1"/>
  <c r="C13" i="2" s="1"/>
  <c r="G13" i="2" s="1"/>
  <c r="C14" i="2" s="1"/>
  <c r="G14" i="2" s="1"/>
  <c r="C15" i="2" s="1"/>
  <c r="G15" i="2" s="1"/>
  <c r="C16" i="2" s="1"/>
  <c r="G16" i="2" s="1"/>
  <c r="C17" i="2" s="1"/>
  <c r="G17" i="2" s="1"/>
  <c r="C18" i="2" s="1"/>
  <c r="G18" i="2" s="1"/>
  <c r="C19" i="2" s="1"/>
  <c r="G19" i="2" s="1"/>
  <c r="C20" i="2" s="1"/>
  <c r="G20" i="2" s="1"/>
  <c r="C21" i="2" s="1"/>
  <c r="G21" i="2" s="1"/>
  <c r="C22" i="2" s="1"/>
  <c r="G22" i="2" s="1"/>
  <c r="C23" i="2" s="1"/>
  <c r="G23" i="2" s="1"/>
  <c r="C24" i="2" s="1"/>
  <c r="G24" i="2" s="1"/>
  <c r="C25" i="2" s="1"/>
  <c r="G25" i="2" s="1"/>
  <c r="C26" i="2" s="1"/>
  <c r="G26" i="2" s="1"/>
  <c r="C27" i="2" s="1"/>
  <c r="G27" i="2" s="1"/>
  <c r="C28" i="2" s="1"/>
  <c r="G28" i="2" s="1"/>
  <c r="C29" i="2" s="1"/>
  <c r="G29" i="2" s="1"/>
  <c r="C30" i="2" s="1"/>
  <c r="G30" i="2" s="1"/>
  <c r="C31" i="2" s="1"/>
  <c r="G31" i="2" s="1"/>
  <c r="C32" i="2" s="1"/>
  <c r="G32" i="2" s="1"/>
  <c r="C2" i="3" s="1"/>
  <c r="G2" i="3" s="1"/>
  <c r="C3" i="3" s="1"/>
  <c r="G3" i="3" s="1"/>
  <c r="C4" i="3" s="1"/>
  <c r="G4" i="3" s="1"/>
  <c r="C5" i="3" s="1"/>
  <c r="G5" i="3" s="1"/>
  <c r="C6" i="3" s="1"/>
  <c r="G6" i="3" s="1"/>
  <c r="C7" i="3" s="1"/>
  <c r="G7" i="3" s="1"/>
  <c r="C8" i="3" s="1"/>
  <c r="G8" i="3" s="1"/>
  <c r="C9" i="3" s="1"/>
  <c r="G9" i="3" s="1"/>
  <c r="C10" i="3" s="1"/>
  <c r="G10" i="3" s="1"/>
  <c r="C11" i="3" s="1"/>
  <c r="G11" i="3" s="1"/>
  <c r="C12" i="3" s="1"/>
  <c r="G12" i="3" s="1"/>
  <c r="C13" i="3" s="1"/>
  <c r="G13" i="3" s="1"/>
  <c r="C14" i="3" s="1"/>
  <c r="G14" i="3" s="1"/>
  <c r="C15" i="3" s="1"/>
  <c r="G15" i="3" s="1"/>
  <c r="C16" i="3" s="1"/>
  <c r="G16" i="3" s="1"/>
  <c r="C17" i="3" s="1"/>
  <c r="G17" i="3" s="1"/>
  <c r="C18" i="3" s="1"/>
  <c r="G18" i="3" s="1"/>
  <c r="C19" i="3" s="1"/>
  <c r="G19" i="3" s="1"/>
  <c r="C20" i="3" s="1"/>
  <c r="G20" i="3" s="1"/>
  <c r="C21" i="3" s="1"/>
  <c r="G21" i="3" s="1"/>
  <c r="C22" i="3" s="1"/>
  <c r="G22" i="3" s="1"/>
  <c r="C23" i="3" s="1"/>
  <c r="G23" i="3" s="1"/>
  <c r="C24" i="3" s="1"/>
  <c r="G24" i="3" s="1"/>
  <c r="C25" i="3" s="1"/>
  <c r="G25" i="3" s="1"/>
  <c r="C26" i="3" s="1"/>
  <c r="G26" i="3" s="1"/>
  <c r="C27" i="3" s="1"/>
  <c r="G27" i="3" s="1"/>
  <c r="C28" i="3" s="1"/>
  <c r="G28" i="3" s="1"/>
  <c r="C29" i="3" s="1"/>
  <c r="G29" i="3" s="1"/>
  <c r="C30" i="3" s="1"/>
  <c r="G30" i="3" s="1"/>
  <c r="C31" i="3" s="1"/>
  <c r="G31" i="3" s="1"/>
  <c r="C2" i="4" s="1"/>
  <c r="G2" i="4" s="1"/>
  <c r="C3" i="4" s="1"/>
  <c r="G3" i="4" s="1"/>
  <c r="C4" i="4" s="1"/>
  <c r="G4" i="4" s="1"/>
  <c r="C5" i="4" s="1"/>
  <c r="G5" i="4" s="1"/>
  <c r="C6" i="4" s="1"/>
  <c r="G6" i="4" s="1"/>
  <c r="C7" i="4" s="1"/>
  <c r="G7" i="4" s="1"/>
  <c r="C8" i="4" s="1"/>
  <c r="G8" i="4" s="1"/>
  <c r="C9" i="4" s="1"/>
  <c r="G9" i="4" s="1"/>
  <c r="C10" i="4" l="1"/>
  <c r="G10" i="4" s="1"/>
  <c r="C11" i="4" s="1"/>
  <c r="G11" i="4" s="1"/>
  <c r="C12" i="4" s="1"/>
  <c r="G12" i="4" s="1"/>
  <c r="C13" i="4" s="1"/>
  <c r="G13" i="4" s="1"/>
  <c r="C14" i="4" s="1"/>
  <c r="G14" i="4" s="1"/>
  <c r="C15" i="4" s="1"/>
  <c r="G15" i="4" s="1"/>
  <c r="C16" i="4" s="1"/>
  <c r="G16" i="4" s="1"/>
  <c r="C17" i="4" s="1"/>
  <c r="G17" i="4" s="1"/>
  <c r="C18" i="4" s="1"/>
  <c r="G18" i="4" s="1"/>
  <c r="C19" i="4" s="1"/>
  <c r="G19" i="4" s="1"/>
  <c r="C20" i="4" s="1"/>
  <c r="G20" i="4" s="1"/>
  <c r="C21" i="4" s="1"/>
  <c r="G21" i="4" s="1"/>
  <c r="C22" i="4" s="1"/>
  <c r="G22" i="4" s="1"/>
  <c r="C23" i="4" s="1"/>
  <c r="G23" i="4" s="1"/>
  <c r="C24" i="4" s="1"/>
  <c r="G24" i="4" s="1"/>
  <c r="C25" i="4" s="1"/>
  <c r="G25" i="4" s="1"/>
  <c r="C26" i="4" s="1"/>
  <c r="G26" i="4" s="1"/>
  <c r="C27" i="4" s="1"/>
  <c r="G27" i="4" s="1"/>
  <c r="C28" i="4" s="1"/>
  <c r="G28" i="4" s="1"/>
  <c r="C29" i="4" s="1"/>
  <c r="G29" i="4" s="1"/>
  <c r="C30" i="4" s="1"/>
  <c r="G30" i="4" s="1"/>
  <c r="C31" i="4" s="1"/>
  <c r="G31" i="4" s="1"/>
  <c r="C32" i="4" s="1"/>
  <c r="G32" i="4" s="1"/>
  <c r="C2" i="5" s="1"/>
  <c r="G2" i="5" s="1"/>
  <c r="C3" i="5" s="1"/>
  <c r="G3" i="5" s="1"/>
  <c r="C4" i="5" s="1"/>
  <c r="G4" i="5" s="1"/>
  <c r="C5" i="5" s="1"/>
  <c r="G5" i="5" s="1"/>
  <c r="C6" i="5" s="1"/>
  <c r="G6" i="5" s="1"/>
  <c r="C7" i="5" s="1"/>
  <c r="G7" i="5" s="1"/>
  <c r="C8" i="5" s="1"/>
  <c r="G8" i="5" s="1"/>
  <c r="C9" i="5" s="1"/>
  <c r="G9" i="5" s="1"/>
  <c r="C10" i="5" s="1"/>
  <c r="G10" i="5" s="1"/>
  <c r="C11" i="5" s="1"/>
  <c r="G11" i="5" s="1"/>
  <c r="C12" i="5" s="1"/>
  <c r="G12" i="5" s="1"/>
  <c r="C13" i="5" s="1"/>
  <c r="G13" i="5" s="1"/>
  <c r="C14" i="5" s="1"/>
  <c r="G14" i="5" s="1"/>
  <c r="C15" i="5" s="1"/>
  <c r="G15" i="5" s="1"/>
  <c r="C16" i="5" s="1"/>
  <c r="G16" i="5" s="1"/>
  <c r="C17" i="5" s="1"/>
  <c r="G17" i="5" s="1"/>
  <c r="C18" i="5" s="1"/>
  <c r="G18" i="5" s="1"/>
  <c r="C19" i="5" s="1"/>
  <c r="G19" i="5" s="1"/>
  <c r="C20" i="5" s="1"/>
  <c r="G20" i="5" s="1"/>
  <c r="C21" i="5" s="1"/>
  <c r="G21" i="5" s="1"/>
  <c r="C22" i="5" s="1"/>
  <c r="G22" i="5" s="1"/>
  <c r="C23" i="5" s="1"/>
  <c r="G23" i="5" s="1"/>
  <c r="C24" i="5" s="1"/>
  <c r="G24" i="5" s="1"/>
  <c r="C25" i="5" s="1"/>
  <c r="G25" i="5" s="1"/>
  <c r="C26" i="5" s="1"/>
  <c r="G26" i="5" s="1"/>
  <c r="C27" i="5" s="1"/>
  <c r="G27" i="5" s="1"/>
  <c r="C28" i="5" s="1"/>
  <c r="G28" i="5" s="1"/>
  <c r="C29" i="5" s="1"/>
  <c r="G29" i="5" s="1"/>
  <c r="C30" i="5" s="1"/>
  <c r="G30" i="5" s="1"/>
  <c r="C2" i="6" s="1"/>
  <c r="G2" i="6" s="1"/>
  <c r="C3" i="6" s="1"/>
  <c r="G3" i="6" s="1"/>
  <c r="C4" i="6" s="1"/>
  <c r="G4" i="6" s="1"/>
  <c r="C5" i="6" s="1"/>
  <c r="G5" i="6" s="1"/>
  <c r="C6" i="6" s="1"/>
  <c r="G6" i="6" s="1"/>
  <c r="C7" i="6" s="1"/>
  <c r="G7" i="6" s="1"/>
  <c r="C8" i="6" s="1"/>
  <c r="G8" i="6" s="1"/>
  <c r="C9" i="6" s="1"/>
  <c r="G9" i="6" s="1"/>
  <c r="C10" i="6" s="1"/>
  <c r="G10" i="6" s="1"/>
  <c r="C11" i="6" s="1"/>
  <c r="G11" i="6" s="1"/>
  <c r="C12" i="6" s="1"/>
  <c r="G12" i="6" s="1"/>
  <c r="C13" i="6" s="1"/>
  <c r="G13" i="6" s="1"/>
  <c r="C14" i="6" s="1"/>
  <c r="G14" i="6" s="1"/>
  <c r="C15" i="6" s="1"/>
  <c r="G15" i="6" s="1"/>
  <c r="C16" i="6" s="1"/>
  <c r="G16" i="6" s="1"/>
  <c r="C17" i="6" s="1"/>
  <c r="G17" i="6" s="1"/>
  <c r="C18" i="6" s="1"/>
  <c r="G18" i="6" s="1"/>
  <c r="C19" i="6" s="1"/>
  <c r="G19" i="6" s="1"/>
  <c r="C20" i="6" s="1"/>
  <c r="G20" i="6" s="1"/>
  <c r="C21" i="6" s="1"/>
  <c r="G21" i="6" s="1"/>
  <c r="C22" i="6" s="1"/>
  <c r="G22" i="6" s="1"/>
  <c r="C23" i="6" s="1"/>
  <c r="G23" i="6" s="1"/>
  <c r="C24" i="6" s="1"/>
  <c r="G24" i="6" s="1"/>
  <c r="C25" i="6" s="1"/>
  <c r="G25" i="6" s="1"/>
  <c r="C26" i="6" s="1"/>
  <c r="G26" i="6" s="1"/>
  <c r="C27" i="6" s="1"/>
  <c r="G27" i="6" s="1"/>
  <c r="C28" i="6" s="1"/>
  <c r="G28" i="6" s="1"/>
  <c r="C29" i="6" s="1"/>
  <c r="G29" i="6" s="1"/>
  <c r="C30" i="6" s="1"/>
  <c r="G30" i="6" s="1"/>
  <c r="C31" i="6" s="1"/>
  <c r="G31" i="6" s="1"/>
  <c r="C32" i="6" s="1"/>
  <c r="G32" i="6" s="1"/>
  <c r="C2" i="7" s="1"/>
  <c r="G2" i="7" s="1"/>
  <c r="C3" i="7" s="1"/>
  <c r="G3" i="7" s="1"/>
  <c r="C4" i="7" s="1"/>
  <c r="G4" i="7" s="1"/>
  <c r="C5" i="7" s="1"/>
  <c r="G5" i="7" s="1"/>
  <c r="C6" i="7" s="1"/>
  <c r="G6" i="7" s="1"/>
  <c r="C7" i="7" s="1"/>
  <c r="G7" i="7" s="1"/>
  <c r="C8" i="7" s="1"/>
  <c r="G8" i="7" s="1"/>
  <c r="C9" i="7" s="1"/>
  <c r="G9" i="7" s="1"/>
</calcChain>
</file>

<file path=xl/sharedStrings.xml><?xml version="1.0" encoding="utf-8"?>
<sst xmlns="http://schemas.openxmlformats.org/spreadsheetml/2006/main" count="604" uniqueCount="225">
  <si>
    <t>Date</t>
  </si>
  <si>
    <t>SO</t>
  </si>
  <si>
    <t>Opening Balance</t>
  </si>
  <si>
    <t>Received Cash</t>
  </si>
  <si>
    <t>Expenses</t>
  </si>
  <si>
    <t>Item Details</t>
  </si>
  <si>
    <t>Balance Amount</t>
  </si>
  <si>
    <t>ALL</t>
  </si>
  <si>
    <t>NIL</t>
  </si>
  <si>
    <t>TARAK</t>
  </si>
  <si>
    <t>SAI</t>
  </si>
  <si>
    <t>TULASI EXPENSES</t>
  </si>
  <si>
    <t>SANTOSH DIESEL</t>
  </si>
  <si>
    <t>FEVIQUIC,CELLO TAPE-110</t>
  </si>
  <si>
    <t>RO FILTERS-5840,PETROL-260,STAFF DINNER-2100</t>
  </si>
  <si>
    <t>VIZIANAGARAM VEHICLE</t>
  </si>
  <si>
    <t>SUNDAY</t>
  </si>
  <si>
    <t>DIESEL FOR 2 VEHICLES-6K,FAST TAG FOR SANTOSH VEHICLE-500</t>
  </si>
  <si>
    <t>MILK BILL MAY MONTH-8400,NAVEEN PETROL-200</t>
  </si>
  <si>
    <t>DIESEL FOR 2 VEHICLES-6K,OVER LOAD-300,GREEN MATT-400</t>
  </si>
  <si>
    <t>NA</t>
  </si>
  <si>
    <t>CLORIN-1000,AMMA VANTILLU-7000,SHAMBHU LUNCH-100,KRANTHI EXPENSES-3000/-</t>
  </si>
  <si>
    <t>PLUMBING-1500,DRUM-800,BOND PAPER-600,MILK PETROL-200,KRANTHI EXPENSES-3300</t>
  </si>
  <si>
    <t>DIESEL FOR 2 VEHICLES-5500,FAST TAG SANTOSH-500,HEAVY LOAD FEE-300</t>
  </si>
  <si>
    <t>TATA ACE KANCHARAPALEM ANNA CANTEEN-2000</t>
  </si>
  <si>
    <t>DIESEL(SANTOSH VECHILE)</t>
  </si>
  <si>
    <t>DIESEL(RAMESH VECHILE)</t>
  </si>
  <si>
    <t>SANTOSH DIESEL-3000,GEOLOGIEST FEE-5000,CLUSTER BOND PAPER 10'N0-1200,COCONUT-170</t>
  </si>
  <si>
    <t>SUDHAKAR-49,500,RAMESH DIESEL-2000</t>
  </si>
  <si>
    <t>SANTOSH DIESEL-3000,ASSIL-100,NUM PLATE-350</t>
  </si>
  <si>
    <t>SV LABS-8850,RAPIDO GWK-700,FIRST AID KALASHI-300</t>
  </si>
  <si>
    <t>EAICHER DIESEL-3000,EAICHER TOLLGATE-1120,DRIVER BETA-200,KALASHI DINNER-600(4 MEMBERS),RAMESH DIESEL-900.</t>
  </si>
  <si>
    <t>RAMESH DIESEL-3000,EXTRA HAMALI-4080,ARILOVA UNLOADING-500,ROPE-1700,NO ENTRY FEE-300</t>
  </si>
  <si>
    <t>SHANKAR SHOP PETROL-150,MILK-140</t>
  </si>
  <si>
    <t>SANTOSH DIESEL-3000,SANTOGH TOLL GATE-500,STATIONARY-170</t>
  </si>
  <si>
    <t>KIRAN/SAI</t>
  </si>
  <si>
    <t>FILTERS AUTO-600,SANTOSH DIESEL-3000,PU L-BOW-1840,EICHAR AIR-120,EICHER DIESEL-6000,DRIVER-200,KALASHI DINER-800</t>
  </si>
  <si>
    <t>BELT-1300,BELT-4,177,MEALS FOR KALASHI-260,RAMESH DIESERL-3000,RAPIDO,350,MILK-200,BAGYA BIS-1000,KALASHI(4)-5000</t>
  </si>
  <si>
    <t>BANDI RAJU-6000,KALASHI DINNER-1000,SANTOSH DIESEL-3000,PANKAJ PETROL-500,EXTRA KALASHI-2,800</t>
  </si>
  <si>
    <t>RAMESH DIESEL-3000,SANTOSH DIESEL-2000,ENGINE OIL-400,PETBLOWING SPARES-450</t>
  </si>
  <si>
    <t>RAJU BOLERO-2000</t>
  </si>
  <si>
    <t>SANTOSH</t>
  </si>
  <si>
    <t>SANTOSH DIESEL-1000,KALASHI LUNCH AT SIMHACHALAM-600</t>
  </si>
  <si>
    <t>RAMESH</t>
  </si>
  <si>
    <t>SANTOSH DIESEL-3000</t>
  </si>
  <si>
    <t>RAMESH DIESEL-3000,EICHER DIESEL-6000,FAST TAG REGISTRATION-1300,FAST TAG RECHARGE-1000,BETA-200,MILK-150,VINODH-25,000/-</t>
  </si>
  <si>
    <t>SANTOSH DIESEL-3000,VINOD-5000,MILK-180,RAJAM KALASHI DINNER-800,EICHER GRRZING-350,FAST TAG STICKER-100</t>
  </si>
  <si>
    <t>FRIDGE STICKRING-1000,STAFF GROCERY-5,420,ELECTRYCITY BILL 3BHK-1312</t>
  </si>
  <si>
    <t>RAMESH DIESEL-3000,DRILL BIT-55,SS CLAMPS(4)-2000,OIL SEALS(4)-2,200,TOURCH LIGHT(3)-900,PRESSURE GAGE SS-767,SHRINK MCB(2)-1800,RAPIDO-615,</t>
  </si>
  <si>
    <t>SANTOSH DIESEL-3000,3BHK RENT-9333</t>
  </si>
  <si>
    <t>3HP MOTOR REPAIR-3,500,3HP MOTOR STARTER-1500,SANTOSH DIESEL-3000,AUTO CHARGE-800</t>
  </si>
  <si>
    <t>RAMESH/ SANTOSH</t>
  </si>
  <si>
    <t>RAMESH DIESEL-3000,WATER DRUM-900,AUTO-150,EICHER DIESEL-6000,DF OIL-1400,KALASHI MEALS-700,DRIVER BETA-200,</t>
  </si>
  <si>
    <t>SANTOSH DIESEL-3000,STAFF VEGETABLE-500,STAFF SNAKS-500,DESAI PETROL-200</t>
  </si>
  <si>
    <t>BALL WALL-1150,STAFF SNACKS-400,RAMESH DIESEL-3000,</t>
  </si>
  <si>
    <t>30,000/- ADDED AMOUNT FROM PLANT SALE AND SCRAP SALE</t>
  </si>
  <si>
    <t>3HP MOTOR FITTING PLUMBING SPARES-3770,</t>
  </si>
  <si>
    <t>SANTOSH DIESEL-2500 PP TULASI
FAST TAG-500 PP TULASI
CHITTI AMOUNT-25000 CASH
RUBBER PAD PENDING AMOUNT-1100 CASH
PANKAJ PETROL-500 CASH</t>
  </si>
  <si>
    <t>SANTOSH DIESEL-3000,RAMESH DIESEL-3000,MOTOR AUTO-1500,KIRAN-200,EICHER DRIVER-200,POLICE-100</t>
  </si>
  <si>
    <t>MILK OLD BALANCE-3,840/-</t>
  </si>
  <si>
    <t>KIRAN</t>
  </si>
  <si>
    <t>Sent To Tulasi</t>
  </si>
  <si>
    <t>RAMESH DIESEL-3000,SANTOSH DIESEL-3000,BALL WALL-1500,TEFFLON TAPE-200</t>
  </si>
  <si>
    <t>16'AMPS PLUG-100,SCREWS-60/-</t>
  </si>
  <si>
    <t>ROAD TAX-6340,100.RS BOND PAPER-600,STAFF VEGETABLES-500</t>
  </si>
  <si>
    <t>RAMESH DIESEL-3000,SANTOSH DIESEL-3000,FAST TAG RECHARGE-500,EICHER DIESEL-6000,DRIVER BETA-200,PRINTER INK-400,KALASHI LUNCH-700,ENGINE OIL-1400</t>
  </si>
  <si>
    <t>EAICHER DIESEL-6000,BETA-200,POLICE-100,KALASHI LUNCH-700,STAFF SNACKS-300,STAFF DINNER-1040,RAMESH DIESEL-3000,DRIVER DINNER-150</t>
  </si>
  <si>
    <t>RAMESH DIESEL-3000,HEATING BLOWER-2800,PETROL-200,EXTRA KALASHI-2700(3),BIRLA WHITE-150</t>
  </si>
  <si>
    <t>WATER PIPE&amp;NIPPEL-390,EAICHER DIESEL-5000,</t>
  </si>
  <si>
    <t>SANTOSH DIESEL-3000,A4 SHEET BUNDLE-260,RAMESH DIESEL-2000,HAMALI LUNCH-400,3BHK RENT-7000</t>
  </si>
  <si>
    <t>STAFF GROSARIES-5500,STAFF CURRY-200,OZONATTION SSR-410,PETROL-200</t>
  </si>
  <si>
    <t>SANTOSH DIESEL-2000PP
RAMESH DIESEL-3000,ALL TYPE OF BOLTS-3570,TAGS-100,MANAGER LUNCH-300,</t>
  </si>
  <si>
    <t>HOLIDAY</t>
  </si>
  <si>
    <t>SANTOSH DIESEL-3000,HAMALI LUNCH-1000</t>
  </si>
  <si>
    <t>RAMESH DIESEL-2000,AUTO-1000,</t>
  </si>
  <si>
    <t>SANTOSH DIESEL-2000,LADIES SALERY-6000,STAFF SNACKS-500,</t>
  </si>
  <si>
    <t>SANTOSH DIESEL-3000,RAMESH DIESEL-3000,WELDER-3000,WATER PUMP+CONNECTER-400,PANKAJ PETROL-300</t>
  </si>
  <si>
    <t>RAMESH DESEL -3000, SANTHOSH DIESEL - 3000,MILK- 90</t>
  </si>
  <si>
    <t>DIESEL-500,STAFF SNACKS-600,SUGAR-50,HOTEL ROOM-1200,ENGINEER LUNCH&amp;BRAEKFAST-380,CAB-291</t>
  </si>
  <si>
    <t>EICHER DIESEL-6000(4000PP),KALASHI LUNCH&amp;DINNER-1400,DRIVER BETA-200,POLICE-100,Extra kalashi-4200</t>
  </si>
  <si>
    <t>STAFF SNACKS-200</t>
  </si>
  <si>
    <t>VINAYAKA CHAVITHI SAMANLU-3540,PANTHULU-1110</t>
  </si>
  <si>
    <t>DRIVER BETA-200,POLICE-100,PUMPKIN-200,CYCLE TUBE-90,POOJA OIL-90,EICHER DIESEL-6000,FAST TAG RECHARGE-1300,GREEZ-200</t>
  </si>
  <si>
    <t>RAMESH DIESEL-3000,SANTOSH DIESEL-3000,GANESH NIMAJJANAM-500,DRIVER BETA-200-KALASHI TEA EXPENSES-300,RTO FINE SANTOSH VEHICLE-2000,MILK-60,SHAMBHU HYD EXPENSES-2000</t>
  </si>
  <si>
    <t>SANTOSH DIESEL-3000,MILK,SUGAR-250,SHAMBHU HYD EXPENSES-1350</t>
  </si>
  <si>
    <t>MILK-180,PH METER BATTARY-280,SHULTER GREEZ-130,GANESH CHANDHA-500</t>
  </si>
  <si>
    <t>CLUSTER BOND PAPER.12 PIECE-1200,STAFF VEGETABLES,PETROL-700,SANTOSH DIESEL-3000,FAST TAG-500,GROSARIES-1080,</t>
  </si>
  <si>
    <t>RAMESH DIESEL-3000</t>
  </si>
  <si>
    <t>Remarks</t>
  </si>
  <si>
    <t xml:space="preserve">SANTOSH DIESEL-3000,RAMESH SDIESEL-3000 </t>
  </si>
  <si>
    <t>SANTOSH DIESEL-3000,MILK,SUGAR-190,WELDING-50,EICHER DIESEL-5000,KALASHI DINNER-880,DRIVER BETA-200</t>
  </si>
  <si>
    <t>ANTI SCALE-600,MILK-90,</t>
  </si>
  <si>
    <t>3BHK STAFF LUNCH AND DINNER-600</t>
  </si>
  <si>
    <t xml:space="preserve"> PLANT GAS CILINDER-600,ROOM CILINDER-900,SATFF LUNCH-450,VEGETABLES-500</t>
  </si>
  <si>
    <t>RAMESH DIESEL-3000,TOLLGATE-90,EICHER DIESEL-5500,TEA,SNACKS-250,DRIVER BETA-200,GREEZ-200,POLICE-100,MILK-30,STATIONARY-400</t>
  </si>
  <si>
    <t>MILK-90</t>
  </si>
  <si>
    <t>MILK-180,DRIVER BETA-200,EXTRA HAMALI-800,OVERLOAD FINE-250,TOLL GATE-230,3BHK RENT-7000,LADIES SALARY(6)-36000</t>
  </si>
  <si>
    <t>SANTOSH&amp;RAMESH DIESEL-6000,MILK-60,</t>
  </si>
  <si>
    <t>SUGAR,MILK-320,EICHER DIESEL-7000,SNACKS-250,RTA-200,DRIVER BETA-200,FASTTAG-2000,3BHK STAFF GROSERIES-6,820</t>
  </si>
  <si>
    <t>FAWIKWIK-110,MILK-240</t>
  </si>
  <si>
    <t>RAMESH DIESEL-3000,GRINDING WHEELS-200,LAB PLASTIC WARE-1450,</t>
  </si>
  <si>
    <t>MONKEY PLAYER-280,MAFF STICKS(4)-1200,SUGAR KG-60,WELDING MACHINE RENT-400,TOLLGATE-70</t>
  </si>
  <si>
    <t>SANTOSH DIESEL-3000,3BHK POWER BILL-1750,MILK,SUGAR-240</t>
  </si>
  <si>
    <t>EICHER DIESEL-6000,MEALS-700,DRIVER BETA-200,SANTOSH DIESEL-3000,RAMESH DIESEL-3000,VZM HAMALI UNLOADING-600,MILK-180</t>
  </si>
  <si>
    <t xml:space="preserve">EICHER DIESEL-5000,SNACKS-250,DRIVER BETA-200,POLICE-100,BIS MEDAM LUNCH-630,HEATERS RAPIDO-300,3BHK VEGETABLES-500,CURRY-150,SANKE POISON-1200,BIS MEDAM TAXI-360 </t>
  </si>
  <si>
    <t>SANTOSH DIESEL-3000,FAST TAG-300,SUGAR 2KG-120,RAILWAY PARCEL LABLE-520,MILK-240,KALASHI TEA-100</t>
  </si>
  <si>
    <t>SANTOSH DIESEL-3000,VZM UNLOADING-600</t>
  </si>
  <si>
    <t>RAMESH DIESEL-3000,EICHER DIESEL-6000,FAST TAG-1000,HAMALI EXPENSES-250,DRIVER BETA-200</t>
  </si>
  <si>
    <t>SANTOSH DIESEL-3000,FAST TAG-500,RAMESH DIESEL-3000,FAST TAG-300,HIGH PRESSUREAIR DRYER SWITCH-640</t>
  </si>
  <si>
    <t>SANTOSH DIESEL-3000,FASTAG-300,CURRENT LINE MAN-500,MILK-90</t>
  </si>
  <si>
    <t>SANTOSH DIESEL-3000,TOLL GATE-200,RAMESH DIESEL-3000,RTA FINE-1000,STAFF LUNCH-400,PETBLOWING WELDING-190,DUSARA PUJA KARCHU-7,455</t>
  </si>
  <si>
    <t>SANTOSH DIESEL-2500(PP),RAMESH DIESEL-3000,GLOWES-440,STAFF DAUGHTER WEDDING GIFT-5000,MILK(23/9-01/10)-980,SUGAR-165,A4 BUNDLE-260,WIRE-550</t>
  </si>
  <si>
    <t>TULASI RAM</t>
  </si>
  <si>
    <t>EICHER WATER WASH-600,DRIVER BETA-200,EICHER DIESEL-6000,DEFF OIL-1300,DRIVER BETA-200,MATTON SUPPILER ITEMS-850,2L LABLE COURIER-800,SANTOSH DIESEL-2000,MATTON CUTTER LUNCH-570,MOUUTON CUTTERS TIP-500,</t>
  </si>
  <si>
    <t>MILK-200,SANTOSH DIESEL-3000,TOLLGATE-300,RAMESH DIESEL-3000,PANLAJ BIKE REPAIR-550,RAMESH VEHICLE FINE-1030</t>
  </si>
  <si>
    <t>SANTOSH DIESEL-3000,RAMESH DIESEL-3000,EICHER BODY IRON RODS WELDING-6100,MILK-200,</t>
  </si>
  <si>
    <t>SRIKAKULAM TOLLGARE-300,PATRUDU DIESEL-3000,MILK-420</t>
  </si>
  <si>
    <t>SANTOSH DIESEL-3000,TOLLGATE-200,EICHER DIESEL-8000,FAST TAG-2000,WIFI RECHARGE-1060,RUBBER STAMS(2)-500,AATA-150</t>
  </si>
  <si>
    <t>PATRUDU DIESEL-2500,TOLL GATE-200,SANTOSH TILLGATE-300,RAMESH DIESEL-3000,BETA-200,MILK-180</t>
  </si>
  <si>
    <t>MILK-180,SUGAR(5KG)-300,SANTOSH DIESEL-3000,TOLL GATE-300,ANTISCALE-850</t>
  </si>
  <si>
    <t>ANTI SCALE-850,MILK-180,HARI RAJAM VEHICLE-7000,</t>
  </si>
  <si>
    <t>RAMESH DIESEL-2000,PATRUDU DIESEL-2000,STAFF BREAKFAST-300,STAFF LUNCH-340,MILK-180,PANKAJ RAPIDO-300,SANTOSH DIESEL-2000,SHAMBHU RAPIDO-200</t>
  </si>
  <si>
    <t>SANTOSH&amp;RAMESH</t>
  </si>
  <si>
    <t>PATRUDU DIESEL-2000,TOLLGATE-200,MILK-180,HARI MADUGULA LOAD-1000</t>
  </si>
  <si>
    <t>RAMESH DIESEL-2000,PATRUDU DIESEL-2000,HYDROLIC OIL-440</t>
  </si>
  <si>
    <t>SANTOSH DIESEL-2000,RUBBER STAMP-290,RTA FINE SANTOSH-1000,HEATERS COURIER AMOUNT-210,</t>
  </si>
  <si>
    <t>PATRUDU</t>
  </si>
  <si>
    <t>MILK-180,BATTERY-40,LIZOL-48</t>
  </si>
  <si>
    <t>SANTOSH-PATRUDU</t>
  </si>
  <si>
    <t>RAMESH DIESEL-3000,TOOL KIT-650,STAFF SNACKS-400,KRISHNA PETROL-250,DTDC PLC COURIER AMOUNT-300,TULASI PETROL-200,DATA CABLE-100,MILK-180,</t>
  </si>
  <si>
    <t>STAFF LUNCH-280,MILK-180,LAKSHMAN DIESEL-3000,PATRUDU DIESEL-2000,SANTOSH DIESEL-3000,NAVEEN PETROL-200</t>
  </si>
  <si>
    <t>PARTUDU&amp;LAKSHMAN</t>
  </si>
  <si>
    <t>BOBBILI TOLL GATE-200,MILK-180</t>
  </si>
  <si>
    <t>PLANT DIESEL-520,MILK-180,HARI YANAM DIESEL-9000,FASTTAG-2000,</t>
  </si>
  <si>
    <t>RAMESH/SANTOSH</t>
  </si>
  <si>
    <t>Yanam Vehicle Expenses Return Amount-400/-(added)</t>
  </si>
  <si>
    <t>MILK-360,SANTOSH DIESEL-3000,SHRINK ROLL PARCEL-520,PATRUDU DIESEL-2500,TOLL-300,ARAKU TOLL-80,STAFF MEALS-390</t>
  </si>
  <si>
    <t>RAMESH DIESEL-3000,MILK/COFEE POWDER-230,POLICE MAMOLU-300</t>
  </si>
  <si>
    <t>LAXMAN DIESEL-2820,TOLL-200,MILK-240,STAFF CURRY-100</t>
  </si>
  <si>
    <t>MILK-240,STAFF MEALS-250,</t>
  </si>
  <si>
    <t>HARI DIESEL,BETA,EXPENSES-7000,MILK/SUGAR-300PATRUDU DIESEL-2000,CHILLER CONTECTER(2)-2340,EICHER ROAD TAX-5040,ANTISCALE(2)-1200,RAPIDO-300</t>
  </si>
  <si>
    <t>RAMESH DIESEL-3000,MILK SUGAR-300,ELE RAMESH LUNCH-150,STAFF SNACKS-120</t>
  </si>
  <si>
    <t>PATRUDU/LAXMAN</t>
  </si>
  <si>
    <t>MILK SUGAR-300,SANTOSH DIESEL-3000,MADUGULA UNLOADING SUNDAY-700</t>
  </si>
  <si>
    <t>SANTOSH/LAXMAN</t>
  </si>
  <si>
    <t>MILK SUGAR-300,LAXMAN DIESEL-3000,STAFF LUNCH-210</t>
  </si>
  <si>
    <t>RAMESH DIESEL-3000,</t>
  </si>
  <si>
    <t>Deeoak dinner- 330, SNK Grand Adv- 1000, staff dinner- 240, Deepak cab- 600,</t>
  </si>
  <si>
    <t>Deepak Tiffen- 90, emiry paper- 200, Deepak lunch -530, Staff Lunch-160, Milk-240, Deepak and staff dinner-750</t>
  </si>
  <si>
    <t>SANTHOSH</t>
  </si>
  <si>
    <t>Eicher fong lamp, horn-5480, Deepak tiffen- 100, lunch-430, santhosh diesel-3000, patrudu diesel-3080, welding-600, pet blowing milling- 3500, pet blowing paking iron pieses-1000, Deepak dinner-480, milk-240</t>
  </si>
  <si>
    <t>Deepak Tiffen- 100, sugar, milk-360, Deepak lunch -400,deepak dinner-410, welding -600</t>
  </si>
  <si>
    <t>LAXAMAN</t>
  </si>
  <si>
    <t xml:space="preserve">Deepak tiffen- 160, laxman diesel-3000, laxman toll gate and RTA Fine-600, deepak lunch-500, Bobbili toll gate-300, patrudu (Rajamandri) diesel, toll gate and Expenses-6420, Ramesh diesel-3000, santhosh toll gate and diesel-3300,Deepak dinner-460, </t>
  </si>
  <si>
    <t xml:space="preserve">Deeopak tiffen-100,deepak and sambu lunch-350, Lable retur DTDC and auto -5900,deepak airport droping-360, fevi quick-200, laxman diesel and toll gate- 3200, </t>
  </si>
  <si>
    <t>SANTHOSH/RAMESH</t>
  </si>
  <si>
    <t xml:space="preserve">Eicher kakinada2 and amalapuram diesel and greese, beta, meals-9000, fastrack-1000, pankaj, sambu lunch-240, staff snacks-800, pankaj, sambu dinner-300, </t>
  </si>
  <si>
    <t xml:space="preserve">flate kirana, veztables- 6927, pankaj and shambu lunch-250, flate rent-7000, snk grand(deepak)-4000, staff snaks-900, </t>
  </si>
  <si>
    <t>DTDC Difference amount(labels return)  - 1540, (5600+1540), sambu and pankaj lunch- 250, 3BHK Current bill-1086, A4 Sheet paper bundles (3)- 690,  patrudu disel-3000, new person rapido(yadav)- 300, santhosh disel-3000, staff snaks- 800, laxman disel-3000</t>
  </si>
  <si>
    <t xml:space="preserve">IECHER Deisel-8000, fastrak-2000, staff snaks-800, pankaj petrol- 500, drill bit-280, </t>
  </si>
  <si>
    <t>ramesh deisel-3000, staff snaks-800, milk(10-11-25 to 15-11-25)- 1080</t>
  </si>
  <si>
    <t>Laxman deisel-3000, tollgate-300, santhosh deisel-3000, Iecher deisel, beta, expenses-5000(madugula),  staff snaks-800</t>
  </si>
  <si>
    <t>SANTHOSH/RAMESH/ PLANT SALE</t>
  </si>
  <si>
    <t xml:space="preserve">Staff snaks-600, </t>
  </si>
  <si>
    <t xml:space="preserve">cow milk(form)-10800, staff snaks-800, cello taps-100,laxman diesel-3000, </t>
  </si>
  <si>
    <t xml:space="preserve">Ramesh diesel-300, patrudu diesel-3000, Iecher diesel, beta, tollegate-6300, staff snaks-700, santhosh diesel-3000, ss dril bits(2)-100, </t>
  </si>
  <si>
    <t>SANTHOSH/RAMESH/ PATRUDU</t>
  </si>
  <si>
    <t xml:space="preserve">3BHK Vegtables-600, VR Indistries-20,000, staff snaks-800, sugar 2kgs-130, milk17.11.25 to 22.11.25-1080, </t>
  </si>
  <si>
    <t>sunday</t>
  </si>
  <si>
    <t xml:space="preserve">santhosh deisel-3000,  ramesh deiisel-3000, ktv locks-500, staff snaks-800, </t>
  </si>
  <si>
    <t>Actul Payment to VR Idustries 50,000/-(30,000/- santhosh sir payed, 20,000/- secondary sale payed)</t>
  </si>
  <si>
    <t xml:space="preserve">Icher deisel, beta, PC,RTA-7000, Staff snaks-800, sugar 6kgs-390, </t>
  </si>
  <si>
    <t xml:space="preserve">staff snaks-800, tea pudi-280, suresh SR Adv-10000, </t>
  </si>
  <si>
    <t xml:space="preserve">Icher deisel, beta, expenses, labour, def oil-10000, fast trak-2000, laxman deisel-3000, tollgate, expenses-350, patrudu deisel-3000, santhosh deisel-3000, ramesh deisel-3000, pankaj petrol-600, staff snaks-800, cello tap-200, </t>
  </si>
  <si>
    <t xml:space="preserve">staff snaks-700, yadav adv-1000, </t>
  </si>
  <si>
    <t xml:space="preserve">paid to inmoisture account-50000, staff snaks-700, 3bhk veztables-650,sambu adv-5000, millk(24.11.2025 to 29.11.2025)6days-1080, ladies salary-36000, patrudu deisel, tollgate-3200, </t>
  </si>
  <si>
    <t>santhosh deisel-3000, ramesh deisel-3000, grees-200, laxman deisel, tollgate, expenses-3400, staff snaks-700, 3bhk atta-300.</t>
  </si>
  <si>
    <t>staff snaks-650, ozon pump paipe-200,</t>
  </si>
  <si>
    <t xml:space="preserve">STAFF SNAKS-750, TEA And Coffee powder-550, </t>
  </si>
  <si>
    <t>ramesh deisel-3000, tank cleaning brushs-430, MCB-270, staff snaks-700</t>
  </si>
  <si>
    <t xml:space="preserve">patrudu deisel, tollgate, meels-5200, santhosh deisel-3000, chlorin-800, lable parsel delhi-955, staff snaks-700, 3bhk refund oil-300, </t>
  </si>
  <si>
    <t xml:space="preserve">gas-3bhk/plant-1800, staff snaks-800, milk(01-12-25 to 06-12-25)-1080, grees-400, hari deisel-9500, fastrack-500, 3bhk rent- 7000, </t>
  </si>
  <si>
    <t xml:space="preserve">3bhk vegtables, atta-900, staff snaks-700, brooms-450, patrudu deisel-3000, santhosh deisel-3000, ramesh deisel-3000, cello taps-200, </t>
  </si>
  <si>
    <t xml:space="preserve">staff snaks-700, hari deisel,beta,expenses-5450, </t>
  </si>
  <si>
    <t xml:space="preserve">allen bolts,allenkys-740, concters,paipes-2124, tap set,tap handle-2217, sambu lunch-250, hari deisel,beta,pc,expenses-7200, masks-600, pankaj petrol-500, staff snaks-700, </t>
  </si>
  <si>
    <t>santhosh deisel-3000, laxman deise,tollgate-3300, patrudu deisel,tollgate-3300, staff snaks-700, ramesh deisel-3000, hari deisel,beta,grees,pc,expenses-8000, fastrack-2000, pet blowing welding(06.12.25)-500</t>
  </si>
  <si>
    <t xml:space="preserve">naveen,yaswanth lunch-200, chinna deisel-1000, staff snaks-700, sambu hyd expences-3000, naveen petrol(ankith)-300, ankith dinner-530, </t>
  </si>
  <si>
    <t>pet blowing bearings-2 -1900, ankith tiffen-160, krishna petrol-100, ankith lunch-400,  3bhk oil 2 pakets-310, milk(08.12.25 to 13.12.25)-1080</t>
  </si>
  <si>
    <t>13.12.2025 ankith dinner-200, ankith tiffen-150, ankith, staff lunch-1600, lethi measion charges-800, ankith dinner-200,</t>
  </si>
  <si>
    <t>ankith tiffen-110, coffe, tea powder-470, Ankith,staff lunch-450, ankith dinner-430, pass port size photos(owner mother)-180</t>
  </si>
  <si>
    <t>SANTHOSH/ RAMESH/ LAXMAN/ CHINNA</t>
  </si>
  <si>
    <t xml:space="preserve">ramesh deisel-3000, 3bhk veztables-600, ankith tiffen-110, krishna petrol-100, chemical for grass-1250, santhosh deisel-3000, laxman deisel-3000, chinna deisel-3000, ankith lunch-280, ankith dinner-260, </t>
  </si>
  <si>
    <t xml:space="preserve">BIS Expenses-10000, ankith extra lauggeg-2800, (dhelli company to airport-761, food-250, SNK Grand to airport-300, dhelli airport to house, food-2000, staff snaks-700, 3bhk atta,oil-610, SNK Grand room bill-5000, </t>
  </si>
  <si>
    <t>SANTHOSH/ RAMESH</t>
  </si>
  <si>
    <t>patrudu deisel-3000, staff snaks-350, yadav 20days salary-13500,</t>
  </si>
  <si>
    <t>SANTHOSH/ LAXMAN/ CHINNA</t>
  </si>
  <si>
    <t xml:space="preserve">Hari akp expenses-500, staff snaks-700, sugar 2kgs-100, chinna deisel-3000, staff dinner-1232, shambu hyd-500, V Chemicals-13000, </t>
  </si>
  <si>
    <t>SANTHOSH/ RAMESH/ LAXMAN/ CHINNA/ PATHRUDU</t>
  </si>
  <si>
    <t xml:space="preserve">hari (deisel, wieight mechine, over load, unloading, beta)-12000, hari fasttrack-2000, ramesh deisel-3000, milk(15th to 20th-19ltr)-1140, staff snaks-700, </t>
  </si>
  <si>
    <t>TDS, TH Batterys-600, teflen tape-300, staff lunch-1400, 3bhk-grossery-5000, kranthi CIP-7000, Staff snaks-450</t>
  </si>
  <si>
    <t>ball wall-2300, kranthi lunch-1500, laxman deisel-3000, santhosh deisel-3000, staff snaks-800, kranthi dinner-1000, 3bhk veg tables-600, hari deisel jaggam peta-(deisel, unloading, asilu, meels, beta, pc )-10800, fastrak-2000</t>
  </si>
  <si>
    <t xml:space="preserve">staff snaks-700, hari deisel madugula(deisel, beta, kalasi expenses-4500, </t>
  </si>
  <si>
    <t>ramesh deisel-3000, laxman deisel-3000, chinna deisel-3000, staff snaks-800, hari deisel rajam(deisel,unloading, beta, expenses)-10000 fastrak-1000,</t>
  </si>
  <si>
    <t xml:space="preserve">cake decretion items, others-3120, biryani and bravareges-6850, coffe and tea powder-300, hari deisel,beta,pc,expenses-9500, </t>
  </si>
  <si>
    <t>sathosh deisel-3000, pathrudu deisel-3000</t>
  </si>
  <si>
    <t>SANTHOSH/ RAMESH/  CHINNA/ PATHRUDU</t>
  </si>
  <si>
    <t>mohan hosptal-800, ramesh deisel-3000, hari(anakapalli expenses)-1000, pankaj petrol-500, staff snaks-700, ladies salarys-36000.</t>
  </si>
  <si>
    <t>SANTHOSH/ RAMESH/ PATHRUDU</t>
  </si>
  <si>
    <t>laxman deisel-3000, chinna deisel-3000, snaks-800</t>
  </si>
  <si>
    <t xml:space="preserve">3bvhk vegetables-500, milk (21-12-2025-27-12-2025)- 1260,  staff snaks-700, l anki squrus, nut and bolds-850, coffe poweder-490, hari deisel, beta, pc, expenses, unloading(rajam)-10000, fastrack-1000, sugar 5kgs-250, </t>
  </si>
  <si>
    <t xml:space="preserve">santhosh deisel-3000, plant deisel-500, pathrudu deisel-3000, staff snaks-700, tea powder 1kg-600, hari deisel,beta,meeals,rta,greesing,(bobbili ,makkuva)unloading-9900, </t>
  </si>
  <si>
    <t>concters-650, ramesh deisel-3000, staff snaks-800, ktv bulb-180, tap-160, ozone circute DTDCA-250, welding-500, lap top bag-700,</t>
  </si>
  <si>
    <t>SANTHOSH/ RAMESH/ LAXMAN/ PATHRUDU</t>
  </si>
  <si>
    <t xml:space="preserve">staff snaks-700, hari- parvathipuram-10000,  </t>
  </si>
  <si>
    <t xml:space="preserve">laxman deisel-3000, santhosh deisel-3000, milk 29-12-2026 to 03-01-2026 - 1080, G.Yenky naidu(kalasi) salary-13990, staff snaks-700, </t>
  </si>
  <si>
    <t xml:space="preserve">3bhk veztables,rice-1000, hari deisel madugula,beta,expenses(kalasi, driver meeals)-4800, staff snaks-700, 12 size paipe 10 miters-750, pampu oil seeal-2250, sumit elctricals-3140, ramesh deisel-3000, chinna deisel-3000, office tables-2 - 8600, </t>
  </si>
  <si>
    <t>MCB Rapido-250, staff snaks-800, hari deisel kakinada,beta,unloading,pc, other expenses,10000, fastrak-2000</t>
  </si>
  <si>
    <t>3000 EXTRA</t>
  </si>
  <si>
    <t>MEALS FOR STAFF-260,MILK-150</t>
  </si>
  <si>
    <t>Hari deisel bobbili, unloading,beta,wate wash,expenses-9000, pathrudu diesel-3000, laxman diesel-3000, santhosh diesel-3000, snaks-700</t>
  </si>
  <si>
    <t>hari diesel srikakulam and rajam,beta,unloading,meeals, pc-9700, fastrack-1000, air dryer repair sper parts -7785, anti sclae and filters transfort-1060, SR Ravi 5days TA DA-900, 3BHK rent-7000, K.Suribabu kalasi salary-13990,</t>
  </si>
  <si>
    <t xml:space="preserve">Santhosh amount-5730, ramesh amount -8230,simba fuction hall payment-15600+scrap amount-8830+shrink scrap amount-2440. Total Amount= 40,830/-  </t>
  </si>
  <si>
    <t>Santhosh amount-3250, Ramesh amount- 3010,gajuwaka 250ml-22 cases -2640 c/o. karuna garu.amount added daily expenses. Total amount-8900.</t>
  </si>
  <si>
    <t>secondry sale :- santhosh-5480, ramesh-7130, pathrudu-2740, chinna-730, Plant sale-1100, ktv sale-500(sudha 6cases 1ltr) Total-17680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</si>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</sst>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3" fontId="0" fillId="0" borderId="1" xfId="0" applyNumberForma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right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3" fillId="2" borderId="1" xfId="0" applyFont="1" applyFill="1" applyBorder="1" applyAlignment="1">
      <alignment horizontal="left"/>
    </xf>
    <xf numFmtId="0" fontId="4" fillId="0" borderId="5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wrapText="1"/>
    </xf>
    <xf numFmtId="164" fontId="0" fillId="2" borderId="1" xfId="0" applyNumberFormat="1" applyFill="1" applyBorder="1"/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164" fontId="6" fillId="3" borderId="1" xfId="0" applyNumberFormat="1" applyFont="1" applyFill="1" applyBorder="1" applyAlignment="1">
      <alignment wrapText="1"/>
    </xf>
    <xf numFmtId="164" fontId="7" fillId="3" borderId="1" xfId="0" applyNumberFormat="1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164" fontId="0" fillId="3" borderId="1" xfId="0" applyNumberFormat="1" applyFill="1" applyBorder="1"/>
    <xf numFmtId="0" fontId="0" fillId="3" borderId="1" xfId="0" applyFill="1" applyBorder="1" applyAlignment="1">
      <alignment wrapText="1"/>
    </xf>
    <xf numFmtId="0" fontId="0" fillId="3" borderId="5" xfId="0" applyFill="1" applyBorder="1"/>
    <xf numFmtId="0" fontId="2" fillId="3" borderId="5" xfId="0" applyFont="1" applyFill="1" applyBorder="1" applyAlignment="1">
      <alignment horizontal="left" vertical="top" wrapText="1"/>
    </xf>
    <xf numFmtId="0" fontId="0" fillId="3" borderId="1" xfId="0" applyFill="1" applyBorder="1"/>
    <xf numFmtId="0" fontId="5" fillId="3" borderId="1" xfId="0" applyFont="1" applyFill="1" applyBorder="1" applyAlignment="1">
      <alignment wrapText="1"/>
    </xf>
    <xf numFmtId="0" fontId="0" fillId="3" borderId="0" xfId="0" applyFill="1"/>
    <xf numFmtId="0" fontId="2" fillId="3" borderId="1" xfId="0" applyFont="1" applyFill="1" applyBorder="1" applyAlignment="1">
      <alignment wrapText="1"/>
    </xf>
    <xf numFmtId="3" fontId="0" fillId="3" borderId="1" xfId="0" applyNumberFormat="1" applyFill="1" applyBorder="1"/>
    <xf numFmtId="0" fontId="6" fillId="3" borderId="1" xfId="0" applyFont="1" applyFill="1" applyBorder="1" applyAlignment="1">
      <alignment wrapText="1"/>
    </xf>
    <xf numFmtId="164" fontId="12" fillId="3" borderId="1" xfId="0" applyNumberFormat="1" applyFont="1" applyFill="1" applyBorder="1"/>
    <xf numFmtId="0" fontId="13" fillId="3" borderId="6" xfId="0" applyFont="1" applyFill="1" applyBorder="1" applyAlignment="1">
      <alignment wrapText="1"/>
    </xf>
    <xf numFmtId="0" fontId="14" fillId="3" borderId="6" xfId="0" applyFont="1" applyFill="1" applyBorder="1" applyAlignment="1">
      <alignment wrapText="1"/>
    </xf>
    <xf numFmtId="3" fontId="12" fillId="3" borderId="0" xfId="0" applyNumberFormat="1" applyFont="1" applyFill="1"/>
    <xf numFmtId="0" fontId="12" fillId="3" borderId="0" xfId="0" applyFont="1" applyFill="1"/>
    <xf numFmtId="0" fontId="1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164" fontId="0" fillId="0" borderId="5" xfId="0" applyNumberFormat="1" applyBorder="1"/>
    <xf numFmtId="0" fontId="0" fillId="0" borderId="3" xfId="0" applyBorder="1"/>
    <xf numFmtId="0" fontId="1" fillId="0" borderId="0" xfId="0" applyFont="1"/>
    <xf numFmtId="0" fontId="1" fillId="0" borderId="3" xfId="0" applyFont="1" applyBorder="1"/>
    <xf numFmtId="1" fontId="0" fillId="0" borderId="1" xfId="0" applyNumberFormat="1" applyBorder="1" applyAlignment="1">
      <alignment horizontal="right"/>
    </xf>
    <xf numFmtId="1" fontId="3" fillId="2" borderId="1" xfId="0" applyNumberFormat="1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/>
    <xf numFmtId="1" fontId="1" fillId="0" borderId="0" xfId="0" applyNumberFormat="1" applyFont="1"/>
    <xf numFmtId="1" fontId="1" fillId="0" borderId="3" xfId="0" applyNumberFormat="1" applyFont="1" applyBorder="1"/>
    <xf numFmtId="1" fontId="0" fillId="0" borderId="0" xfId="0" applyNumberFormat="1"/>
    <xf numFmtId="1" fontId="3" fillId="2" borderId="1" xfId="0" applyNumberFormat="1" applyFont="1" applyFill="1" applyBorder="1" applyAlignment="1">
      <alignment wrapText="1"/>
    </xf>
    <xf numFmtId="1" fontId="0" fillId="3" borderId="1" xfId="0" applyNumberForma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1" fillId="2" borderId="2" xfId="0" applyFont="1" applyFill="1" applyBorder="1"/>
    <xf numFmtId="0" fontId="1" fillId="2" borderId="4" xfId="0" applyFont="1" applyFill="1" applyBorder="1"/>
    <xf numFmtId="3" fontId="0" fillId="2" borderId="1" xfId="0" applyNumberFormat="1" applyFill="1" applyBorder="1"/>
    <xf numFmtId="3" fontId="0" fillId="2" borderId="1" xfId="0" applyNumberFormat="1" applyFill="1" applyBorder="1" applyAlignment="1">
      <alignment wrapText="1"/>
    </xf>
    <xf numFmtId="3" fontId="1" fillId="2" borderId="1" xfId="0" applyNumberFormat="1" applyFont="1" applyFill="1" applyBorder="1" applyAlignment="1">
      <alignment horizontal="right"/>
    </xf>
    <xf numFmtId="3" fontId="0" fillId="0" borderId="5" xfId="0" applyNumberFormat="1" applyBorder="1"/>
    <xf numFmtId="3" fontId="0" fillId="0" borderId="6" xfId="0" applyNumberFormat="1" applyBorder="1"/>
    <xf numFmtId="0" fontId="0" fillId="2" borderId="6" xfId="0" applyFill="1" applyBorder="1"/>
    <xf numFmtId="0" fontId="0" fillId="2" borderId="5" xfId="0" applyFill="1" applyBorder="1"/>
    <xf numFmtId="3" fontId="12" fillId="3" borderId="6" xfId="0" applyNumberFormat="1" applyFont="1" applyFill="1" applyBorder="1"/>
    <xf numFmtId="164" fontId="0" fillId="2" borderId="1" xfId="0" applyNumberFormat="1" applyFill="1" applyBorder="1" applyAlignment="1">
      <alignment wrapText="1"/>
    </xf>
    <xf numFmtId="3" fontId="0" fillId="3" borderId="5" xfId="0" applyNumberFormat="1" applyFill="1" applyBorder="1"/>
    <xf numFmtId="3" fontId="1" fillId="0" borderId="6" xfId="0" applyNumberFormat="1" applyFont="1" applyBorder="1" applyAlignment="1">
      <alignment horizontal="right"/>
    </xf>
    <xf numFmtId="3" fontId="0" fillId="3" borderId="1" xfId="0" applyNumberForma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6" xfId="0" applyNumberFormat="1" applyBorder="1" applyAlignment="1">
      <alignment horizontal="left"/>
    </xf>
    <xf numFmtId="0" fontId="4" fillId="2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53B-CCD0-4859-BA1F-F6F0B2DE26F9}">
  <dimension ref="A1:H57"/>
  <sheetViews>
    <sheetView tabSelected="1" zoomScale="85" zoomScaleNormal="85" workbookViewId="0">
      <pane ySplit="1" topLeftCell="A18" activePane="bottomLeft" state="frozen"/>
      <selection pane="bottomLeft" activeCell="E33" sqref="E33"/>
    </sheetView>
  </sheetViews>
  <sheetFormatPr baseColWidth="10" defaultColWidth="8.83203125" defaultRowHeight="15" x14ac:dyDescent="0.2"/>
  <cols>
    <col min="1" max="1" width="10" customWidth="1"/>
    <col min="2" max="2" width="11.1640625" customWidth="1"/>
    <col min="3" max="3" width="14.1640625" style="96" customWidth="1"/>
    <col min="4" max="4" width="16.83203125" style="96" customWidth="1"/>
    <col min="5" max="5" width="18.1640625" style="96" customWidth="1"/>
    <col min="6" max="6" width="47" customWidth="1"/>
    <col min="7" max="7" width="18" style="12" customWidth="1"/>
    <col min="8" max="8" width="18.6640625" customWidth="1"/>
  </cols>
  <sheetData>
    <row r="1" spans="1:7" s="39" customFormat="1" ht="50" x14ac:dyDescent="0.3">
      <c r="A1" s="6" t="s">
        <v>0</v>
      </c>
      <c r="B1" s="37" t="s">
        <v>1</v>
      </c>
      <c r="C1" s="91" t="s">
        <v>2</v>
      </c>
      <c r="D1" s="97" t="s">
        <v>3</v>
      </c>
      <c r="E1" s="97" t="s">
        <v>4</v>
      </c>
      <c r="F1" s="84" t="s">
        <v>5</v>
      </c>
      <c r="G1" s="85" t="s">
        <v>6</v>
      </c>
    </row>
    <row r="2" spans="1:7" ht="33.75" customHeight="1" x14ac:dyDescent="0.2">
      <c r="A2" s="2">
        <v>45813</v>
      </c>
      <c r="B2" s="2" t="s">
        <v>7</v>
      </c>
      <c r="C2" s="90">
        <v>0</v>
      </c>
      <c r="D2" s="93">
        <v>9310</v>
      </c>
      <c r="E2" s="93">
        <v>0</v>
      </c>
      <c r="F2" s="4" t="s">
        <v>8</v>
      </c>
      <c r="G2" s="35">
        <f>C2+D2-E2</f>
        <v>9310</v>
      </c>
    </row>
    <row r="3" spans="1:7" ht="33.75" customHeight="1" x14ac:dyDescent="0.2">
      <c r="A3" s="2">
        <v>45814</v>
      </c>
      <c r="B3" s="2" t="s">
        <v>9</v>
      </c>
      <c r="C3" s="92">
        <f>G2</f>
        <v>9310</v>
      </c>
      <c r="D3" s="93">
        <v>0</v>
      </c>
      <c r="E3" s="93">
        <v>0</v>
      </c>
      <c r="F3" s="4" t="s">
        <v>8</v>
      </c>
      <c r="G3" s="35">
        <f t="shared" ref="G3:G57" si="0">C3+D3-E3</f>
        <v>9310</v>
      </c>
    </row>
    <row r="4" spans="1:7" ht="33.75" customHeight="1" x14ac:dyDescent="0.2">
      <c r="A4" s="2">
        <v>45815</v>
      </c>
      <c r="B4" s="2" t="s">
        <v>10</v>
      </c>
      <c r="C4" s="92">
        <f t="shared" ref="C4:C45" si="1">G3</f>
        <v>9310</v>
      </c>
      <c r="D4" s="93">
        <v>17060</v>
      </c>
      <c r="E4" s="93">
        <v>0</v>
      </c>
      <c r="F4" s="4" t="s">
        <v>8</v>
      </c>
      <c r="G4" s="35">
        <f t="shared" si="0"/>
        <v>26370</v>
      </c>
    </row>
    <row r="5" spans="1:7" ht="33.75" customHeight="1" x14ac:dyDescent="0.2">
      <c r="A5" s="2">
        <v>45816</v>
      </c>
      <c r="B5" s="1" t="s">
        <v>8</v>
      </c>
      <c r="C5" s="92">
        <f t="shared" si="1"/>
        <v>26370</v>
      </c>
      <c r="D5" s="93">
        <v>0</v>
      </c>
      <c r="E5" s="93">
        <v>0</v>
      </c>
      <c r="F5" s="4" t="s">
        <v>8</v>
      </c>
      <c r="G5" s="35">
        <f t="shared" si="0"/>
        <v>26370</v>
      </c>
    </row>
    <row r="6" spans="1:7" ht="33.75" customHeight="1" x14ac:dyDescent="0.2">
      <c r="A6" s="2">
        <v>45817</v>
      </c>
      <c r="B6" s="1" t="s">
        <v>8</v>
      </c>
      <c r="C6" s="92">
        <f t="shared" si="1"/>
        <v>26370</v>
      </c>
      <c r="D6" s="93">
        <v>0</v>
      </c>
      <c r="E6" s="93">
        <v>4000</v>
      </c>
      <c r="F6" s="4" t="s">
        <v>11</v>
      </c>
      <c r="G6" s="35">
        <f t="shared" si="0"/>
        <v>22370</v>
      </c>
    </row>
    <row r="7" spans="1:7" ht="33.75" customHeight="1" x14ac:dyDescent="0.2">
      <c r="A7" s="2">
        <v>45818</v>
      </c>
      <c r="B7" s="1" t="s">
        <v>9</v>
      </c>
      <c r="C7" s="92">
        <f t="shared" si="1"/>
        <v>22370</v>
      </c>
      <c r="D7" s="93">
        <v>0</v>
      </c>
      <c r="E7" s="93">
        <v>0</v>
      </c>
      <c r="F7" s="4" t="s">
        <v>8</v>
      </c>
      <c r="G7" s="35">
        <f t="shared" si="0"/>
        <v>22370</v>
      </c>
    </row>
    <row r="8" spans="1:7" ht="33.75" customHeight="1" x14ac:dyDescent="0.2">
      <c r="A8" s="2">
        <v>45819</v>
      </c>
      <c r="B8" s="1" t="s">
        <v>10</v>
      </c>
      <c r="C8" s="92">
        <f t="shared" si="1"/>
        <v>22370</v>
      </c>
      <c r="D8" s="93">
        <v>4290</v>
      </c>
      <c r="E8" s="93">
        <v>3000</v>
      </c>
      <c r="F8" s="4" t="s">
        <v>12</v>
      </c>
      <c r="G8" s="35">
        <f t="shared" si="0"/>
        <v>23660</v>
      </c>
    </row>
    <row r="9" spans="1:7" ht="33.75" customHeight="1" x14ac:dyDescent="0.2">
      <c r="A9" s="2">
        <v>45820</v>
      </c>
      <c r="B9" s="1" t="s">
        <v>9</v>
      </c>
      <c r="C9" s="92">
        <f t="shared" si="1"/>
        <v>23660</v>
      </c>
      <c r="D9" s="93">
        <v>22430</v>
      </c>
      <c r="E9" s="93">
        <v>110</v>
      </c>
      <c r="F9" s="4" t="s">
        <v>13</v>
      </c>
      <c r="G9" s="35">
        <f t="shared" si="0"/>
        <v>45980</v>
      </c>
    </row>
    <row r="10" spans="1:7" ht="33.75" customHeight="1" x14ac:dyDescent="0.2">
      <c r="A10" s="2">
        <v>45821</v>
      </c>
      <c r="B10" s="1" t="s">
        <v>9</v>
      </c>
      <c r="C10" s="92">
        <f t="shared" si="1"/>
        <v>45980</v>
      </c>
      <c r="D10" s="93">
        <v>0</v>
      </c>
      <c r="E10" s="93">
        <v>8200</v>
      </c>
      <c r="F10" s="5" t="s">
        <v>14</v>
      </c>
      <c r="G10" s="35">
        <f t="shared" si="0"/>
        <v>37780</v>
      </c>
    </row>
    <row r="11" spans="1:7" ht="33.75" customHeight="1" x14ac:dyDescent="0.2">
      <c r="A11" s="2">
        <v>45822</v>
      </c>
      <c r="B11" s="1" t="s">
        <v>10</v>
      </c>
      <c r="C11" s="92">
        <f t="shared" si="1"/>
        <v>37780</v>
      </c>
      <c r="D11" s="93">
        <v>10060</v>
      </c>
      <c r="E11" s="93">
        <v>3000</v>
      </c>
      <c r="F11" s="4" t="s">
        <v>15</v>
      </c>
      <c r="G11" s="35">
        <f t="shared" si="0"/>
        <v>44840</v>
      </c>
    </row>
    <row r="12" spans="1:7" ht="33.75" customHeight="1" x14ac:dyDescent="0.2">
      <c r="A12" s="2">
        <v>45823</v>
      </c>
      <c r="B12" s="1" t="s">
        <v>16</v>
      </c>
      <c r="C12" s="92">
        <f t="shared" si="1"/>
        <v>44840</v>
      </c>
      <c r="D12" s="93">
        <v>0</v>
      </c>
      <c r="E12" s="93">
        <v>0</v>
      </c>
      <c r="F12" s="4" t="s">
        <v>8</v>
      </c>
      <c r="G12" s="35">
        <f t="shared" si="0"/>
        <v>44840</v>
      </c>
    </row>
    <row r="13" spans="1:7" ht="33.75" customHeight="1" x14ac:dyDescent="0.2">
      <c r="A13" s="2">
        <v>45824</v>
      </c>
      <c r="B13" s="1" t="s">
        <v>10</v>
      </c>
      <c r="C13" s="92">
        <f t="shared" si="1"/>
        <v>44840</v>
      </c>
      <c r="D13" s="93">
        <v>26680</v>
      </c>
      <c r="E13" s="93">
        <v>6500</v>
      </c>
      <c r="F13" s="5" t="s">
        <v>17</v>
      </c>
      <c r="G13" s="35">
        <f t="shared" si="0"/>
        <v>65020</v>
      </c>
    </row>
    <row r="14" spans="1:7" ht="33.75" customHeight="1" x14ac:dyDescent="0.2">
      <c r="A14" s="2">
        <v>45825</v>
      </c>
      <c r="B14" s="1" t="s">
        <v>10</v>
      </c>
      <c r="C14" s="92">
        <f t="shared" si="1"/>
        <v>65020</v>
      </c>
      <c r="D14" s="93">
        <v>9370</v>
      </c>
      <c r="E14" s="93">
        <v>8600</v>
      </c>
      <c r="F14" s="5" t="s">
        <v>18</v>
      </c>
      <c r="G14" s="35">
        <f t="shared" si="0"/>
        <v>65790</v>
      </c>
    </row>
    <row r="15" spans="1:7" ht="33.75" customHeight="1" x14ac:dyDescent="0.2">
      <c r="A15" s="2">
        <v>45825</v>
      </c>
      <c r="B15" s="1" t="s">
        <v>9</v>
      </c>
      <c r="C15" s="92">
        <f t="shared" si="1"/>
        <v>65790</v>
      </c>
      <c r="D15" s="93">
        <v>11000</v>
      </c>
      <c r="E15" s="93">
        <v>6700</v>
      </c>
      <c r="F15" s="5" t="s">
        <v>19</v>
      </c>
      <c r="G15" s="35">
        <f t="shared" si="0"/>
        <v>70090</v>
      </c>
    </row>
    <row r="16" spans="1:7" s="73" customFormat="1" ht="33.75" customHeight="1" x14ac:dyDescent="0.2">
      <c r="A16" s="67">
        <v>45826</v>
      </c>
      <c r="B16" s="71" t="s">
        <v>20</v>
      </c>
      <c r="C16" s="92">
        <f t="shared" si="1"/>
        <v>70090</v>
      </c>
      <c r="D16" s="98">
        <v>0</v>
      </c>
      <c r="E16" s="98">
        <v>51100</v>
      </c>
      <c r="F16" s="74" t="s">
        <v>21</v>
      </c>
      <c r="G16" s="35">
        <f t="shared" si="0"/>
        <v>18990</v>
      </c>
    </row>
    <row r="17" spans="1:7" ht="33.75" customHeight="1" x14ac:dyDescent="0.2">
      <c r="A17" s="2">
        <v>45827</v>
      </c>
      <c r="B17" s="1" t="s">
        <v>10</v>
      </c>
      <c r="C17" s="92">
        <f t="shared" si="1"/>
        <v>18990</v>
      </c>
      <c r="D17" s="93">
        <v>11940</v>
      </c>
      <c r="E17" s="93">
        <v>6400</v>
      </c>
      <c r="F17" s="3" t="s">
        <v>22</v>
      </c>
      <c r="G17" s="35">
        <f t="shared" si="0"/>
        <v>24530</v>
      </c>
    </row>
    <row r="18" spans="1:7" ht="34.5" customHeight="1" x14ac:dyDescent="0.2">
      <c r="A18" s="2">
        <v>45828</v>
      </c>
      <c r="B18" s="1" t="s">
        <v>10</v>
      </c>
      <c r="C18" s="92">
        <f t="shared" si="1"/>
        <v>24530</v>
      </c>
      <c r="D18" s="93">
        <v>9840</v>
      </c>
      <c r="E18" s="93">
        <v>6300</v>
      </c>
      <c r="F18" s="3" t="s">
        <v>23</v>
      </c>
      <c r="G18" s="35">
        <f t="shared" si="0"/>
        <v>28070</v>
      </c>
    </row>
    <row r="19" spans="1:7" ht="23.25" customHeight="1" x14ac:dyDescent="0.2">
      <c r="A19" s="2">
        <v>45829</v>
      </c>
      <c r="B19" s="1" t="s">
        <v>10</v>
      </c>
      <c r="C19" s="92">
        <f t="shared" si="1"/>
        <v>28070</v>
      </c>
      <c r="D19" s="93">
        <v>0</v>
      </c>
      <c r="E19" s="93">
        <v>2000</v>
      </c>
      <c r="F19" s="3" t="s">
        <v>24</v>
      </c>
      <c r="G19" s="35">
        <f t="shared" si="0"/>
        <v>26070</v>
      </c>
    </row>
    <row r="20" spans="1:7" x14ac:dyDescent="0.2">
      <c r="A20" s="2">
        <v>45830</v>
      </c>
      <c r="B20" s="1"/>
      <c r="C20" s="92">
        <f t="shared" si="1"/>
        <v>26070</v>
      </c>
      <c r="D20" s="99"/>
      <c r="E20" s="99"/>
      <c r="F20" s="87"/>
      <c r="G20" s="35">
        <f t="shared" si="0"/>
        <v>26070</v>
      </c>
    </row>
    <row r="21" spans="1:7" x14ac:dyDescent="0.2">
      <c r="A21" s="2">
        <v>45831</v>
      </c>
      <c r="B21" s="1" t="s">
        <v>10</v>
      </c>
      <c r="C21" s="92">
        <f t="shared" si="1"/>
        <v>26070</v>
      </c>
      <c r="D21" s="93">
        <v>11650</v>
      </c>
      <c r="E21" s="93">
        <v>3000</v>
      </c>
      <c r="F21" s="1" t="s">
        <v>25</v>
      </c>
      <c r="G21" s="35">
        <f t="shared" si="0"/>
        <v>34720</v>
      </c>
    </row>
    <row r="22" spans="1:7" x14ac:dyDescent="0.2">
      <c r="A22" s="2">
        <v>45832</v>
      </c>
      <c r="B22" s="1" t="s">
        <v>10</v>
      </c>
      <c r="C22" s="92">
        <f t="shared" si="1"/>
        <v>34720</v>
      </c>
      <c r="D22" s="93">
        <v>13710</v>
      </c>
      <c r="E22" s="93">
        <v>3000</v>
      </c>
      <c r="F22" s="1" t="s">
        <v>26</v>
      </c>
      <c r="G22" s="35">
        <f t="shared" si="0"/>
        <v>45430</v>
      </c>
    </row>
    <row r="23" spans="1:7" x14ac:dyDescent="0.2">
      <c r="A23" s="2">
        <v>45833</v>
      </c>
      <c r="B23" s="1" t="s">
        <v>10</v>
      </c>
      <c r="C23" s="92">
        <f t="shared" si="1"/>
        <v>45430</v>
      </c>
      <c r="D23" s="93">
        <v>7670</v>
      </c>
      <c r="E23" s="93">
        <v>0</v>
      </c>
      <c r="F23" s="1" t="s">
        <v>8</v>
      </c>
      <c r="G23" s="35">
        <f t="shared" si="0"/>
        <v>53100</v>
      </c>
    </row>
    <row r="24" spans="1:7" ht="25" x14ac:dyDescent="0.2">
      <c r="A24" s="2">
        <v>45834</v>
      </c>
      <c r="B24" s="1" t="s">
        <v>10</v>
      </c>
      <c r="C24" s="92">
        <f t="shared" si="1"/>
        <v>53100</v>
      </c>
      <c r="D24" s="93">
        <v>7010</v>
      </c>
      <c r="E24" s="93">
        <v>9370</v>
      </c>
      <c r="F24" s="3" t="s">
        <v>27</v>
      </c>
      <c r="G24" s="35">
        <f t="shared" si="0"/>
        <v>50740</v>
      </c>
    </row>
    <row r="25" spans="1:7" x14ac:dyDescent="0.2">
      <c r="A25" s="2">
        <v>45835</v>
      </c>
      <c r="B25" s="1" t="s">
        <v>10</v>
      </c>
      <c r="C25" s="92">
        <f t="shared" si="1"/>
        <v>50740</v>
      </c>
      <c r="D25" s="93">
        <v>5920</v>
      </c>
      <c r="E25" s="93">
        <v>1000</v>
      </c>
      <c r="F25" s="1" t="s">
        <v>26</v>
      </c>
      <c r="G25" s="35">
        <f t="shared" si="0"/>
        <v>55660</v>
      </c>
    </row>
    <row r="26" spans="1:7" ht="24.75" customHeight="1" x14ac:dyDescent="0.2">
      <c r="A26" s="2">
        <v>45836</v>
      </c>
      <c r="B26" s="1" t="s">
        <v>10</v>
      </c>
      <c r="C26" s="92">
        <f t="shared" si="1"/>
        <v>55660</v>
      </c>
      <c r="D26" s="93">
        <v>9980</v>
      </c>
      <c r="E26" s="93">
        <v>51500</v>
      </c>
      <c r="F26" s="9" t="s">
        <v>28</v>
      </c>
      <c r="G26" s="35">
        <f t="shared" si="0"/>
        <v>14140</v>
      </c>
    </row>
    <row r="27" spans="1:7" x14ac:dyDescent="0.2">
      <c r="A27" s="2">
        <v>45838</v>
      </c>
      <c r="B27" s="1" t="s">
        <v>10</v>
      </c>
      <c r="C27" s="92">
        <f t="shared" si="1"/>
        <v>14140</v>
      </c>
      <c r="D27" s="93">
        <v>8570</v>
      </c>
      <c r="E27" s="93">
        <v>3450</v>
      </c>
      <c r="F27" s="11" t="s">
        <v>29</v>
      </c>
      <c r="G27" s="35">
        <f t="shared" si="0"/>
        <v>19260</v>
      </c>
    </row>
    <row r="28" spans="1:7" x14ac:dyDescent="0.2">
      <c r="A28" s="2">
        <v>45839</v>
      </c>
      <c r="B28" s="1" t="s">
        <v>10</v>
      </c>
      <c r="C28" s="92">
        <f t="shared" si="1"/>
        <v>19260</v>
      </c>
      <c r="D28" s="93">
        <v>5440</v>
      </c>
      <c r="E28" s="93">
        <v>9850</v>
      </c>
      <c r="F28" s="11" t="s">
        <v>30</v>
      </c>
      <c r="G28" s="35">
        <f t="shared" si="0"/>
        <v>14850</v>
      </c>
    </row>
    <row r="29" spans="1:7" ht="48.75" customHeight="1" x14ac:dyDescent="0.2">
      <c r="A29" s="2">
        <v>45840</v>
      </c>
      <c r="B29" s="1" t="s">
        <v>10</v>
      </c>
      <c r="C29" s="92">
        <f t="shared" si="1"/>
        <v>14850</v>
      </c>
      <c r="D29" s="93">
        <v>7780</v>
      </c>
      <c r="E29" s="93">
        <v>5820</v>
      </c>
      <c r="F29" s="11" t="s">
        <v>31</v>
      </c>
      <c r="G29" s="35">
        <f t="shared" si="0"/>
        <v>16810</v>
      </c>
    </row>
    <row r="30" spans="1:7" ht="48.75" customHeight="1" x14ac:dyDescent="0.2">
      <c r="A30" s="2">
        <v>45841</v>
      </c>
      <c r="B30" s="1" t="s">
        <v>10</v>
      </c>
      <c r="C30" s="92">
        <f t="shared" si="1"/>
        <v>16810</v>
      </c>
      <c r="D30" s="93">
        <v>8720</v>
      </c>
      <c r="E30" s="93">
        <v>9580</v>
      </c>
      <c r="F30" s="11" t="s">
        <v>32</v>
      </c>
      <c r="G30" s="35">
        <f t="shared" si="0"/>
        <v>15950</v>
      </c>
    </row>
    <row r="31" spans="1:7" ht="24.75" customHeight="1" x14ac:dyDescent="0.2">
      <c r="A31" s="2">
        <v>45842</v>
      </c>
      <c r="B31" s="1" t="s">
        <v>10</v>
      </c>
      <c r="C31" s="92">
        <f t="shared" si="1"/>
        <v>15950</v>
      </c>
      <c r="D31" s="93">
        <v>8380</v>
      </c>
      <c r="E31" s="93">
        <v>290</v>
      </c>
      <c r="F31" s="11" t="s">
        <v>33</v>
      </c>
      <c r="G31" s="35">
        <f t="shared" si="0"/>
        <v>24040</v>
      </c>
    </row>
    <row r="32" spans="1:7" x14ac:dyDescent="0.2">
      <c r="A32" s="2">
        <v>45843</v>
      </c>
      <c r="B32" s="1" t="s">
        <v>8</v>
      </c>
      <c r="C32" s="92">
        <f t="shared" si="1"/>
        <v>24040</v>
      </c>
      <c r="D32" s="93">
        <v>0</v>
      </c>
      <c r="E32" s="93">
        <v>3670</v>
      </c>
      <c r="F32" s="11" t="s">
        <v>34</v>
      </c>
      <c r="G32" s="35">
        <f t="shared" si="0"/>
        <v>20370</v>
      </c>
    </row>
    <row r="33" spans="1:7" ht="55.5" customHeight="1" x14ac:dyDescent="0.2">
      <c r="A33" s="2">
        <v>45845</v>
      </c>
      <c r="B33" s="1" t="s">
        <v>35</v>
      </c>
      <c r="C33" s="92">
        <f t="shared" si="1"/>
        <v>20370</v>
      </c>
      <c r="D33" s="93">
        <v>19250</v>
      </c>
      <c r="E33" s="100">
        <v>12560</v>
      </c>
      <c r="F33" s="11" t="s">
        <v>36</v>
      </c>
      <c r="G33" s="35">
        <f t="shared" si="0"/>
        <v>27060</v>
      </c>
    </row>
    <row r="34" spans="1:7" ht="49.5" customHeight="1" x14ac:dyDescent="0.2">
      <c r="A34" s="2">
        <v>45846</v>
      </c>
      <c r="B34" s="1" t="s">
        <v>10</v>
      </c>
      <c r="C34" s="92">
        <f t="shared" si="1"/>
        <v>27060</v>
      </c>
      <c r="D34" s="93">
        <v>11280</v>
      </c>
      <c r="E34" s="100">
        <v>15287</v>
      </c>
      <c r="F34" s="11" t="s">
        <v>37</v>
      </c>
      <c r="G34" s="35">
        <f t="shared" si="0"/>
        <v>23053</v>
      </c>
    </row>
    <row r="35" spans="1:7" ht="27" x14ac:dyDescent="0.2">
      <c r="A35" s="2">
        <v>45847</v>
      </c>
      <c r="C35" s="92">
        <f t="shared" si="1"/>
        <v>23053</v>
      </c>
      <c r="D35" s="93">
        <v>0</v>
      </c>
      <c r="E35" s="93">
        <v>13300</v>
      </c>
      <c r="F35" s="15" t="s">
        <v>38</v>
      </c>
      <c r="G35" s="35">
        <f t="shared" si="0"/>
        <v>9753</v>
      </c>
    </row>
    <row r="36" spans="1:7" ht="25.5" customHeight="1" x14ac:dyDescent="0.2">
      <c r="A36" s="2">
        <v>45848</v>
      </c>
      <c r="B36" s="1" t="s">
        <v>8</v>
      </c>
      <c r="C36" s="92">
        <f t="shared" si="1"/>
        <v>9753</v>
      </c>
      <c r="D36" s="93">
        <v>0</v>
      </c>
      <c r="E36" s="93">
        <v>0</v>
      </c>
      <c r="F36" s="1" t="s">
        <v>8</v>
      </c>
      <c r="G36" s="35">
        <f t="shared" si="0"/>
        <v>9753</v>
      </c>
    </row>
    <row r="37" spans="1:7" ht="27" x14ac:dyDescent="0.2">
      <c r="A37" s="2">
        <v>45849</v>
      </c>
      <c r="B37" s="1"/>
      <c r="C37" s="92">
        <f t="shared" si="1"/>
        <v>9753</v>
      </c>
      <c r="D37" s="93">
        <v>7500</v>
      </c>
      <c r="E37" s="100">
        <v>5850</v>
      </c>
      <c r="F37" s="9" t="s">
        <v>39</v>
      </c>
      <c r="G37" s="35">
        <f t="shared" si="0"/>
        <v>11403</v>
      </c>
    </row>
    <row r="38" spans="1:7" ht="20.25" customHeight="1" x14ac:dyDescent="0.2">
      <c r="A38" s="2">
        <v>45850</v>
      </c>
      <c r="B38" s="1" t="s">
        <v>10</v>
      </c>
      <c r="C38" s="92">
        <f t="shared" si="1"/>
        <v>11403</v>
      </c>
      <c r="D38" s="93">
        <v>10700</v>
      </c>
      <c r="E38" s="93">
        <v>2000</v>
      </c>
      <c r="F38" s="1" t="s">
        <v>40</v>
      </c>
      <c r="G38" s="35">
        <f t="shared" si="0"/>
        <v>20103</v>
      </c>
    </row>
    <row r="39" spans="1:7" ht="23.25" customHeight="1" x14ac:dyDescent="0.2">
      <c r="A39" s="2">
        <v>45851</v>
      </c>
      <c r="B39" s="65" t="s">
        <v>16</v>
      </c>
      <c r="C39" s="92">
        <f t="shared" si="1"/>
        <v>20103</v>
      </c>
      <c r="D39" s="93">
        <v>0</v>
      </c>
      <c r="E39" s="93">
        <v>0</v>
      </c>
      <c r="F39" s="1" t="s">
        <v>8</v>
      </c>
      <c r="G39" s="35">
        <f t="shared" si="0"/>
        <v>20103</v>
      </c>
    </row>
    <row r="40" spans="1:7" x14ac:dyDescent="0.2">
      <c r="A40" s="2">
        <v>45852</v>
      </c>
      <c r="B40" s="1" t="s">
        <v>41</v>
      </c>
      <c r="C40" s="92">
        <f t="shared" si="1"/>
        <v>20103</v>
      </c>
      <c r="D40" s="93">
        <v>14750</v>
      </c>
      <c r="E40" s="93">
        <v>1600</v>
      </c>
      <c r="F40" s="11" t="s">
        <v>42</v>
      </c>
      <c r="G40" s="35">
        <f t="shared" si="0"/>
        <v>33253</v>
      </c>
    </row>
    <row r="41" spans="1:7" x14ac:dyDescent="0.2">
      <c r="A41" s="2">
        <v>45853</v>
      </c>
      <c r="B41" s="1" t="s">
        <v>43</v>
      </c>
      <c r="C41" s="92">
        <f t="shared" si="1"/>
        <v>33253</v>
      </c>
      <c r="D41" s="93">
        <v>11240</v>
      </c>
      <c r="E41" s="93">
        <v>3000</v>
      </c>
      <c r="F41" s="1" t="s">
        <v>44</v>
      </c>
      <c r="G41" s="35">
        <f t="shared" si="0"/>
        <v>41493</v>
      </c>
    </row>
    <row r="42" spans="1:7" ht="27" x14ac:dyDescent="0.2">
      <c r="A42" s="2">
        <v>45854</v>
      </c>
      <c r="B42" s="1" t="s">
        <v>43</v>
      </c>
      <c r="C42" s="92">
        <f t="shared" si="1"/>
        <v>41493</v>
      </c>
      <c r="D42" s="93">
        <v>11900</v>
      </c>
      <c r="E42" s="93">
        <v>36650</v>
      </c>
      <c r="F42" s="9" t="s">
        <v>45</v>
      </c>
      <c r="G42" s="35">
        <f t="shared" si="0"/>
        <v>16743</v>
      </c>
    </row>
    <row r="43" spans="1:7" ht="48.75" customHeight="1" x14ac:dyDescent="0.2">
      <c r="A43" s="2">
        <v>45855</v>
      </c>
      <c r="B43" s="1" t="s">
        <v>43</v>
      </c>
      <c r="C43" s="92">
        <f t="shared" si="1"/>
        <v>16743</v>
      </c>
      <c r="D43" s="93">
        <v>10320</v>
      </c>
      <c r="E43" s="100">
        <v>9430</v>
      </c>
      <c r="F43" s="11" t="s">
        <v>46</v>
      </c>
      <c r="G43" s="35">
        <f t="shared" si="0"/>
        <v>17633</v>
      </c>
    </row>
    <row r="44" spans="1:7" x14ac:dyDescent="0.2">
      <c r="A44" s="2">
        <v>45856</v>
      </c>
      <c r="B44" s="1" t="s">
        <v>8</v>
      </c>
      <c r="C44" s="92">
        <f t="shared" si="1"/>
        <v>17633</v>
      </c>
      <c r="D44" s="93">
        <v>0</v>
      </c>
      <c r="E44" s="93">
        <v>3000</v>
      </c>
      <c r="F44" s="1" t="s">
        <v>44</v>
      </c>
      <c r="G44" s="35">
        <f t="shared" si="0"/>
        <v>14633</v>
      </c>
    </row>
    <row r="45" spans="1:7" ht="27" x14ac:dyDescent="0.2">
      <c r="A45" s="2">
        <v>45857</v>
      </c>
      <c r="B45" s="1" t="s">
        <v>43</v>
      </c>
      <c r="C45" s="92">
        <f t="shared" si="1"/>
        <v>14633</v>
      </c>
      <c r="D45" s="93">
        <v>5900</v>
      </c>
      <c r="E45" s="100">
        <v>7732</v>
      </c>
      <c r="F45" s="11" t="s">
        <v>47</v>
      </c>
      <c r="G45" s="35">
        <f t="shared" si="0"/>
        <v>12801</v>
      </c>
    </row>
    <row r="46" spans="1:7" x14ac:dyDescent="0.2">
      <c r="A46" s="86">
        <v>45858</v>
      </c>
      <c r="B46" s="102" t="s">
        <v>16</v>
      </c>
      <c r="C46" s="94">
        <f>G45</f>
        <v>12801</v>
      </c>
      <c r="D46" s="94"/>
      <c r="E46" s="94"/>
      <c r="F46" s="88"/>
      <c r="G46" s="35">
        <f t="shared" si="0"/>
        <v>12801</v>
      </c>
    </row>
    <row r="47" spans="1:7" ht="40" x14ac:dyDescent="0.2">
      <c r="A47" s="86">
        <v>45859</v>
      </c>
      <c r="B47" s="1" t="s">
        <v>43</v>
      </c>
      <c r="C47" s="92">
        <f>G46</f>
        <v>12801</v>
      </c>
      <c r="D47" s="93">
        <v>11540</v>
      </c>
      <c r="E47" s="93">
        <v>11337</v>
      </c>
      <c r="F47" s="11" t="s">
        <v>48</v>
      </c>
      <c r="G47" s="35">
        <f t="shared" si="0"/>
        <v>13004</v>
      </c>
    </row>
    <row r="48" spans="1:7" x14ac:dyDescent="0.2">
      <c r="A48" s="86">
        <v>45860</v>
      </c>
      <c r="B48" s="1" t="s">
        <v>43</v>
      </c>
      <c r="C48" s="92">
        <f t="shared" ref="C48:C52" si="2">G47</f>
        <v>13004</v>
      </c>
      <c r="D48" s="93">
        <v>6240</v>
      </c>
      <c r="E48" s="93">
        <v>12333</v>
      </c>
      <c r="F48" s="11" t="s">
        <v>49</v>
      </c>
      <c r="G48" s="35">
        <f t="shared" si="0"/>
        <v>6911</v>
      </c>
    </row>
    <row r="49" spans="1:8" ht="27" x14ac:dyDescent="0.2">
      <c r="A49" s="86">
        <v>45861</v>
      </c>
      <c r="B49" s="1" t="s">
        <v>43</v>
      </c>
      <c r="C49" s="92">
        <f t="shared" si="2"/>
        <v>6911</v>
      </c>
      <c r="D49" s="93">
        <v>2050</v>
      </c>
      <c r="E49" s="93">
        <v>8800</v>
      </c>
      <c r="F49" s="11" t="s">
        <v>50</v>
      </c>
      <c r="G49" s="35">
        <f t="shared" si="0"/>
        <v>161</v>
      </c>
    </row>
    <row r="50" spans="1:8" ht="32" x14ac:dyDescent="0.2">
      <c r="A50" s="86">
        <v>45862</v>
      </c>
      <c r="B50" s="14" t="s">
        <v>51</v>
      </c>
      <c r="C50" s="92">
        <f t="shared" si="2"/>
        <v>161</v>
      </c>
      <c r="D50" s="93">
        <v>13040</v>
      </c>
      <c r="E50" s="93">
        <v>12350</v>
      </c>
      <c r="F50" s="11" t="s">
        <v>52</v>
      </c>
      <c r="G50" s="35">
        <f t="shared" si="0"/>
        <v>851</v>
      </c>
    </row>
    <row r="51" spans="1:8" ht="32" x14ac:dyDescent="0.2">
      <c r="A51" s="86">
        <v>45863</v>
      </c>
      <c r="B51" s="14" t="s">
        <v>51</v>
      </c>
      <c r="C51" s="92">
        <f t="shared" si="2"/>
        <v>851</v>
      </c>
      <c r="D51" s="93">
        <v>8490</v>
      </c>
      <c r="E51" s="93">
        <v>4200</v>
      </c>
      <c r="F51" s="11" t="s">
        <v>53</v>
      </c>
      <c r="G51" s="35">
        <f t="shared" si="0"/>
        <v>5141</v>
      </c>
    </row>
    <row r="52" spans="1:8" ht="59.25" customHeight="1" x14ac:dyDescent="0.2">
      <c r="A52" s="86">
        <v>45864</v>
      </c>
      <c r="B52" s="1" t="s">
        <v>43</v>
      </c>
      <c r="C52" s="92">
        <f t="shared" si="2"/>
        <v>5141</v>
      </c>
      <c r="D52" s="93">
        <v>30220</v>
      </c>
      <c r="E52" s="93">
        <v>4550</v>
      </c>
      <c r="F52" s="11" t="s">
        <v>54</v>
      </c>
      <c r="G52" s="35">
        <f t="shared" si="0"/>
        <v>30811</v>
      </c>
      <c r="H52" s="16" t="s">
        <v>55</v>
      </c>
    </row>
    <row r="53" spans="1:8" x14ac:dyDescent="0.2">
      <c r="A53" s="86">
        <v>45865</v>
      </c>
      <c r="B53" s="101" t="s">
        <v>16</v>
      </c>
      <c r="C53" s="95">
        <f>G52</f>
        <v>30811</v>
      </c>
      <c r="D53" s="95"/>
      <c r="E53" s="95"/>
      <c r="F53" s="89"/>
      <c r="G53" s="35">
        <f t="shared" si="0"/>
        <v>30811</v>
      </c>
    </row>
    <row r="54" spans="1:8" ht="16" x14ac:dyDescent="0.2">
      <c r="A54" s="86">
        <v>45866</v>
      </c>
      <c r="B54" s="1" t="s">
        <v>43</v>
      </c>
      <c r="C54" s="92">
        <f>G53</f>
        <v>30811</v>
      </c>
      <c r="D54" s="93">
        <v>10870</v>
      </c>
      <c r="E54" s="93">
        <v>3770</v>
      </c>
      <c r="F54" s="17" t="s">
        <v>56</v>
      </c>
      <c r="G54" s="35">
        <f t="shared" si="0"/>
        <v>37911</v>
      </c>
    </row>
    <row r="55" spans="1:8" ht="84" customHeight="1" x14ac:dyDescent="0.2">
      <c r="A55" s="86">
        <v>45867</v>
      </c>
      <c r="B55" s="1" t="s">
        <v>43</v>
      </c>
      <c r="C55" s="92">
        <f t="shared" ref="C55:C57" si="3">G54</f>
        <v>37911</v>
      </c>
      <c r="D55" s="93">
        <v>4080</v>
      </c>
      <c r="E55" s="100">
        <v>29600</v>
      </c>
      <c r="F55" s="11" t="s">
        <v>57</v>
      </c>
      <c r="G55" s="35">
        <f t="shared" si="0"/>
        <v>12391</v>
      </c>
    </row>
    <row r="56" spans="1:8" ht="48.75" customHeight="1" x14ac:dyDescent="0.2">
      <c r="A56" s="86">
        <v>45868</v>
      </c>
      <c r="B56" s="1" t="s">
        <v>43</v>
      </c>
      <c r="C56" s="92">
        <f t="shared" si="3"/>
        <v>12391</v>
      </c>
      <c r="D56" s="93">
        <v>4130</v>
      </c>
      <c r="E56" s="100">
        <v>8000</v>
      </c>
      <c r="F56" s="9" t="s">
        <v>58</v>
      </c>
      <c r="G56" s="35">
        <f t="shared" si="0"/>
        <v>8521</v>
      </c>
    </row>
    <row r="57" spans="1:8" x14ac:dyDescent="0.2">
      <c r="A57" s="86">
        <v>45869</v>
      </c>
      <c r="B57" s="1" t="s">
        <v>43</v>
      </c>
      <c r="C57" s="92">
        <f t="shared" si="3"/>
        <v>8521</v>
      </c>
      <c r="D57" s="93">
        <v>3760</v>
      </c>
      <c r="E57" s="93">
        <v>3840</v>
      </c>
      <c r="F57" s="1" t="s">
        <v>59</v>
      </c>
      <c r="G57" s="35">
        <f t="shared" si="0"/>
        <v>8441</v>
      </c>
    </row>
  </sheetData>
  <pageMargins left="0.25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7B29-27CF-4698-BCE6-133786F8E758}">
  <dimension ref="A1:H32"/>
  <sheetViews>
    <sheetView workbookViewId="0">
      <pane ySplit="1" topLeftCell="A28" activePane="bottomLeft" state="frozen"/>
      <selection pane="bottomLeft" activeCell="H1" sqref="H1:H1048576"/>
    </sheetView>
  </sheetViews>
  <sheetFormatPr baseColWidth="10" defaultColWidth="8.83203125" defaultRowHeight="15" x14ac:dyDescent="0.2"/>
  <cols>
    <col min="1" max="1" width="9.83203125" bestFit="1" customWidth="1"/>
    <col min="2" max="2" width="10.33203125" bestFit="1" customWidth="1"/>
    <col min="3" max="3" width="15.6640625" customWidth="1"/>
    <col min="4" max="4" width="17" customWidth="1"/>
    <col min="5" max="5" width="16.5" customWidth="1"/>
    <col min="6" max="6" width="25.6640625" customWidth="1"/>
    <col min="7" max="7" width="18.1640625" style="12" customWidth="1"/>
    <col min="8" max="8" width="18.6640625" customWidth="1"/>
  </cols>
  <sheetData>
    <row r="1" spans="1:8" ht="24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</row>
    <row r="2" spans="1:8" x14ac:dyDescent="0.2">
      <c r="A2" s="2">
        <v>45870</v>
      </c>
      <c r="B2" s="2" t="s">
        <v>60</v>
      </c>
      <c r="C2" s="35">
        <f>'July-25'!G57</f>
        <v>8441</v>
      </c>
      <c r="D2" s="10">
        <v>5490</v>
      </c>
      <c r="E2" s="1">
        <v>0</v>
      </c>
      <c r="F2" s="1" t="s">
        <v>8</v>
      </c>
      <c r="G2" s="35">
        <f t="shared" ref="G2:G32" si="0">C2+D2-E2</f>
        <v>13931</v>
      </c>
    </row>
    <row r="3" spans="1:8" ht="40" x14ac:dyDescent="0.2">
      <c r="A3" s="2">
        <v>45871</v>
      </c>
      <c r="B3" s="2" t="s">
        <v>43</v>
      </c>
      <c r="C3" s="35">
        <f>G2</f>
        <v>13931</v>
      </c>
      <c r="D3" s="10">
        <v>8380</v>
      </c>
      <c r="E3" s="10">
        <v>7700</v>
      </c>
      <c r="F3" s="11" t="s">
        <v>62</v>
      </c>
      <c r="G3" s="35">
        <f t="shared" si="0"/>
        <v>14611</v>
      </c>
    </row>
    <row r="4" spans="1:8" x14ac:dyDescent="0.2">
      <c r="A4" s="2">
        <v>45872</v>
      </c>
      <c r="B4" s="2" t="s">
        <v>16</v>
      </c>
      <c r="C4" s="35">
        <f>G3</f>
        <v>14611</v>
      </c>
      <c r="D4" s="1"/>
      <c r="E4" s="1"/>
      <c r="F4" s="14"/>
      <c r="G4" s="35">
        <f t="shared" si="0"/>
        <v>14611</v>
      </c>
    </row>
    <row r="5" spans="1:8" ht="32" x14ac:dyDescent="0.2">
      <c r="A5" s="2">
        <v>45873</v>
      </c>
      <c r="B5" s="2" t="s">
        <v>43</v>
      </c>
      <c r="C5" s="35">
        <f>G4</f>
        <v>14611</v>
      </c>
      <c r="D5" s="10">
        <v>12010</v>
      </c>
      <c r="E5" s="1">
        <v>160</v>
      </c>
      <c r="F5" s="14" t="s">
        <v>63</v>
      </c>
      <c r="G5" s="35">
        <f t="shared" si="0"/>
        <v>26461</v>
      </c>
    </row>
    <row r="6" spans="1:8" ht="27" x14ac:dyDescent="0.2">
      <c r="A6" s="2">
        <v>45874</v>
      </c>
      <c r="B6" s="2" t="s">
        <v>43</v>
      </c>
      <c r="C6" s="35">
        <f t="shared" ref="C6:C32" si="1">G5</f>
        <v>26461</v>
      </c>
      <c r="D6" s="10">
        <v>12690</v>
      </c>
      <c r="E6" s="10">
        <v>7440</v>
      </c>
      <c r="F6" s="11" t="s">
        <v>64</v>
      </c>
      <c r="G6" s="35">
        <f t="shared" si="0"/>
        <v>31711</v>
      </c>
    </row>
    <row r="7" spans="1:8" ht="66" x14ac:dyDescent="0.2">
      <c r="A7" s="2">
        <v>45875</v>
      </c>
      <c r="B7" s="1" t="s">
        <v>60</v>
      </c>
      <c r="C7" s="35">
        <f t="shared" si="1"/>
        <v>31711</v>
      </c>
      <c r="D7" s="10">
        <v>5280</v>
      </c>
      <c r="E7" s="13">
        <v>15200</v>
      </c>
      <c r="F7" s="11" t="s">
        <v>65</v>
      </c>
      <c r="G7" s="35">
        <f t="shared" si="0"/>
        <v>21791</v>
      </c>
    </row>
    <row r="8" spans="1:8" x14ac:dyDescent="0.2">
      <c r="A8" s="2">
        <v>45876</v>
      </c>
      <c r="B8" s="2" t="s">
        <v>43</v>
      </c>
      <c r="C8" s="35">
        <f t="shared" si="1"/>
        <v>21791</v>
      </c>
      <c r="D8" s="13">
        <v>23300</v>
      </c>
      <c r="E8" s="1">
        <v>0</v>
      </c>
      <c r="F8" s="1" t="s">
        <v>8</v>
      </c>
      <c r="G8" s="35">
        <f t="shared" si="0"/>
        <v>45091</v>
      </c>
    </row>
    <row r="9" spans="1:8" ht="66" x14ac:dyDescent="0.2">
      <c r="A9" s="2">
        <v>45877</v>
      </c>
      <c r="B9" s="1" t="s">
        <v>8</v>
      </c>
      <c r="C9" s="35">
        <f t="shared" si="1"/>
        <v>45091</v>
      </c>
      <c r="D9" s="1">
        <v>0</v>
      </c>
      <c r="E9" s="13">
        <v>11490</v>
      </c>
      <c r="F9" s="11" t="s">
        <v>66</v>
      </c>
      <c r="G9" s="35">
        <f t="shared" si="0"/>
        <v>33601</v>
      </c>
    </row>
    <row r="10" spans="1:8" ht="40" x14ac:dyDescent="0.2">
      <c r="A10" s="2">
        <v>45878</v>
      </c>
      <c r="B10" s="1" t="s">
        <v>43</v>
      </c>
      <c r="C10" s="35">
        <f t="shared" si="1"/>
        <v>33601</v>
      </c>
      <c r="D10" s="10">
        <v>9640</v>
      </c>
      <c r="E10" s="10">
        <v>8850</v>
      </c>
      <c r="F10" s="11" t="s">
        <v>67</v>
      </c>
      <c r="G10" s="35">
        <f t="shared" si="0"/>
        <v>34391</v>
      </c>
    </row>
    <row r="11" spans="1:8" x14ac:dyDescent="0.2">
      <c r="A11" s="2">
        <v>45879</v>
      </c>
      <c r="B11" s="65" t="s">
        <v>16</v>
      </c>
      <c r="C11" s="35">
        <f t="shared" si="1"/>
        <v>34391</v>
      </c>
      <c r="D11" s="1">
        <v>0</v>
      </c>
      <c r="E11" s="1">
        <v>0</v>
      </c>
      <c r="F11" s="1" t="s">
        <v>8</v>
      </c>
      <c r="G11" s="35">
        <f t="shared" si="0"/>
        <v>34391</v>
      </c>
    </row>
    <row r="12" spans="1:8" ht="27" x14ac:dyDescent="0.2">
      <c r="A12" s="2">
        <v>45880</v>
      </c>
      <c r="B12" s="1" t="s">
        <v>43</v>
      </c>
      <c r="C12" s="35">
        <f t="shared" si="1"/>
        <v>34391</v>
      </c>
      <c r="D12" s="10">
        <v>13490</v>
      </c>
      <c r="E12" s="10">
        <v>5390</v>
      </c>
      <c r="F12" s="11" t="s">
        <v>68</v>
      </c>
      <c r="G12" s="35">
        <f t="shared" si="0"/>
        <v>42491</v>
      </c>
    </row>
    <row r="13" spans="1:8" ht="53" x14ac:dyDescent="0.2">
      <c r="A13" s="2">
        <v>45881</v>
      </c>
      <c r="B13" s="1" t="s">
        <v>43</v>
      </c>
      <c r="C13" s="35">
        <f t="shared" si="1"/>
        <v>42491</v>
      </c>
      <c r="D13" s="10">
        <v>3100</v>
      </c>
      <c r="E13" s="10">
        <v>12660</v>
      </c>
      <c r="F13" s="11" t="s">
        <v>69</v>
      </c>
      <c r="G13" s="35">
        <f t="shared" si="0"/>
        <v>32931</v>
      </c>
    </row>
    <row r="14" spans="1:8" ht="48" x14ac:dyDescent="0.2">
      <c r="A14" s="2">
        <v>45882</v>
      </c>
      <c r="B14" s="1" t="s">
        <v>43</v>
      </c>
      <c r="C14" s="35">
        <f t="shared" si="1"/>
        <v>32931</v>
      </c>
      <c r="D14" s="10">
        <v>9250</v>
      </c>
      <c r="E14" s="13">
        <v>6310</v>
      </c>
      <c r="F14" s="14" t="s">
        <v>70</v>
      </c>
      <c r="G14" s="35">
        <f t="shared" si="0"/>
        <v>35871</v>
      </c>
    </row>
    <row r="15" spans="1:8" s="66" customFormat="1" ht="76.5" customHeight="1" x14ac:dyDescent="0.2">
      <c r="A15" s="30">
        <v>45883</v>
      </c>
      <c r="B15" s="65" t="s">
        <v>43</v>
      </c>
      <c r="C15" s="105">
        <f t="shared" si="1"/>
        <v>35871</v>
      </c>
      <c r="D15" s="103">
        <v>3710</v>
      </c>
      <c r="E15" s="104">
        <v>5970</v>
      </c>
      <c r="F15" s="45" t="s">
        <v>71</v>
      </c>
      <c r="G15" s="105">
        <f t="shared" si="0"/>
        <v>33611</v>
      </c>
      <c r="H15" s="66" t="s">
        <v>217</v>
      </c>
    </row>
    <row r="16" spans="1:8" x14ac:dyDescent="0.2">
      <c r="A16" s="2">
        <v>45884</v>
      </c>
      <c r="B16" s="1" t="s">
        <v>72</v>
      </c>
      <c r="C16" s="35">
        <f t="shared" si="1"/>
        <v>33611</v>
      </c>
      <c r="D16" s="1">
        <v>0</v>
      </c>
      <c r="E16" s="1">
        <v>0</v>
      </c>
      <c r="F16" s="1" t="s">
        <v>72</v>
      </c>
      <c r="G16" s="35">
        <f t="shared" si="0"/>
        <v>33611</v>
      </c>
    </row>
    <row r="17" spans="1:7" ht="32" x14ac:dyDescent="0.2">
      <c r="A17" s="2">
        <v>45885</v>
      </c>
      <c r="B17" s="1" t="s">
        <v>43</v>
      </c>
      <c r="C17" s="35">
        <f t="shared" si="1"/>
        <v>33611</v>
      </c>
      <c r="D17" s="10">
        <v>6900</v>
      </c>
      <c r="E17" s="1">
        <v>4000</v>
      </c>
      <c r="F17" s="17" t="s">
        <v>73</v>
      </c>
      <c r="G17" s="35">
        <f t="shared" si="0"/>
        <v>36511</v>
      </c>
    </row>
    <row r="18" spans="1:7" ht="32" x14ac:dyDescent="0.2">
      <c r="A18" s="2">
        <v>45886</v>
      </c>
      <c r="B18" s="1" t="s">
        <v>16</v>
      </c>
      <c r="C18" s="35">
        <f t="shared" si="1"/>
        <v>36511</v>
      </c>
      <c r="D18" s="1">
        <v>0</v>
      </c>
      <c r="E18" s="10">
        <v>3000</v>
      </c>
      <c r="F18" s="17" t="s">
        <v>74</v>
      </c>
      <c r="G18" s="35">
        <f t="shared" si="0"/>
        <v>33511</v>
      </c>
    </row>
    <row r="19" spans="1:7" ht="27" x14ac:dyDescent="0.2">
      <c r="A19" s="2">
        <v>45887</v>
      </c>
      <c r="B19" s="18" t="s">
        <v>8</v>
      </c>
      <c r="C19" s="35">
        <f t="shared" si="1"/>
        <v>33511</v>
      </c>
      <c r="D19" s="18">
        <v>0</v>
      </c>
      <c r="E19" s="106">
        <v>8500</v>
      </c>
      <c r="F19" s="21" t="s">
        <v>75</v>
      </c>
      <c r="G19" s="35">
        <f t="shared" si="0"/>
        <v>25011</v>
      </c>
    </row>
    <row r="20" spans="1:7" ht="53" x14ac:dyDescent="0.2">
      <c r="A20" s="2">
        <v>45888</v>
      </c>
      <c r="B20" s="1" t="s">
        <v>8</v>
      </c>
      <c r="C20" s="35">
        <f t="shared" si="1"/>
        <v>25011</v>
      </c>
      <c r="D20" s="1">
        <v>0</v>
      </c>
      <c r="E20" s="10">
        <v>9700</v>
      </c>
      <c r="F20" s="11" t="s">
        <v>76</v>
      </c>
      <c r="G20" s="35">
        <f t="shared" si="0"/>
        <v>15311</v>
      </c>
    </row>
    <row r="21" spans="1:7" x14ac:dyDescent="0.2">
      <c r="A21" s="2">
        <v>45889</v>
      </c>
      <c r="B21" s="19" t="s">
        <v>43</v>
      </c>
      <c r="C21" s="35">
        <f t="shared" si="1"/>
        <v>15311</v>
      </c>
      <c r="D21" s="107">
        <v>10130</v>
      </c>
      <c r="E21" s="19">
        <v>0</v>
      </c>
      <c r="F21" s="19" t="s">
        <v>8</v>
      </c>
      <c r="G21" s="35">
        <f t="shared" si="0"/>
        <v>25441</v>
      </c>
    </row>
    <row r="22" spans="1:7" x14ac:dyDescent="0.2">
      <c r="A22" s="2">
        <v>45890</v>
      </c>
      <c r="B22" s="19" t="s">
        <v>43</v>
      </c>
      <c r="C22" s="35">
        <f t="shared" si="1"/>
        <v>25441</v>
      </c>
      <c r="D22" s="10">
        <v>6170</v>
      </c>
      <c r="E22" s="1">
        <v>0</v>
      </c>
      <c r="F22" s="1" t="s">
        <v>8</v>
      </c>
      <c r="G22" s="35">
        <f t="shared" si="0"/>
        <v>31611</v>
      </c>
    </row>
    <row r="23" spans="1:7" ht="27" x14ac:dyDescent="0.2">
      <c r="A23" s="2">
        <v>45891</v>
      </c>
      <c r="B23" s="1" t="s">
        <v>8</v>
      </c>
      <c r="C23" s="35">
        <f t="shared" si="1"/>
        <v>31611</v>
      </c>
      <c r="D23" s="1">
        <v>0</v>
      </c>
      <c r="E23" s="10">
        <v>6090</v>
      </c>
      <c r="F23" s="9" t="s">
        <v>77</v>
      </c>
      <c r="G23" s="35">
        <f t="shared" si="0"/>
        <v>25521</v>
      </c>
    </row>
    <row r="24" spans="1:7" ht="40" x14ac:dyDescent="0.2">
      <c r="A24" s="2">
        <v>45892</v>
      </c>
      <c r="B24" s="1" t="s">
        <v>8</v>
      </c>
      <c r="C24" s="35">
        <f t="shared" si="1"/>
        <v>25521</v>
      </c>
      <c r="D24" s="1">
        <v>0</v>
      </c>
      <c r="E24" s="13">
        <v>3020</v>
      </c>
      <c r="F24" s="9" t="s">
        <v>78</v>
      </c>
      <c r="G24" s="35">
        <f t="shared" si="0"/>
        <v>22501</v>
      </c>
    </row>
    <row r="25" spans="1:7" x14ac:dyDescent="0.2">
      <c r="A25" s="2">
        <v>45893</v>
      </c>
      <c r="B25" s="65" t="s">
        <v>16</v>
      </c>
      <c r="C25" s="35">
        <f t="shared" si="1"/>
        <v>22501</v>
      </c>
      <c r="D25" s="1">
        <v>0</v>
      </c>
      <c r="E25" s="1">
        <v>0</v>
      </c>
      <c r="F25" s="1" t="s">
        <v>8</v>
      </c>
      <c r="G25" s="35">
        <f t="shared" si="0"/>
        <v>22501</v>
      </c>
    </row>
    <row r="26" spans="1:7" ht="60" x14ac:dyDescent="0.2">
      <c r="A26" s="2">
        <v>45894</v>
      </c>
      <c r="B26" s="1" t="s">
        <v>8</v>
      </c>
      <c r="C26" s="35">
        <f t="shared" si="1"/>
        <v>22501</v>
      </c>
      <c r="D26" s="1">
        <v>0</v>
      </c>
      <c r="E26" s="13">
        <v>11900</v>
      </c>
      <c r="F26" s="24" t="s">
        <v>79</v>
      </c>
      <c r="G26" s="35">
        <f t="shared" si="0"/>
        <v>10601</v>
      </c>
    </row>
    <row r="27" spans="1:7" s="73" customFormat="1" ht="32" x14ac:dyDescent="0.2">
      <c r="A27" s="67">
        <v>45895</v>
      </c>
      <c r="B27" s="71" t="s">
        <v>8</v>
      </c>
      <c r="C27" s="35">
        <f t="shared" si="1"/>
        <v>10601</v>
      </c>
      <c r="D27" s="75">
        <v>6000</v>
      </c>
      <c r="E27" s="68">
        <v>6000</v>
      </c>
      <c r="F27" s="68" t="s">
        <v>89</v>
      </c>
      <c r="G27" s="35">
        <f t="shared" si="0"/>
        <v>10601</v>
      </c>
    </row>
    <row r="28" spans="1:7" ht="32" x14ac:dyDescent="0.2">
      <c r="A28" s="2">
        <v>45896</v>
      </c>
      <c r="B28" s="1" t="s">
        <v>8</v>
      </c>
      <c r="C28" s="35">
        <f t="shared" si="1"/>
        <v>10601</v>
      </c>
      <c r="D28" s="1">
        <v>0</v>
      </c>
      <c r="E28" s="10">
        <v>4650</v>
      </c>
      <c r="F28" s="14" t="s">
        <v>81</v>
      </c>
      <c r="G28" s="35">
        <f t="shared" si="0"/>
        <v>5951</v>
      </c>
    </row>
    <row r="29" spans="1:7" ht="16" x14ac:dyDescent="0.2">
      <c r="A29" s="2">
        <v>45897</v>
      </c>
      <c r="B29" s="1" t="s">
        <v>43</v>
      </c>
      <c r="C29" s="35">
        <f t="shared" si="1"/>
        <v>5951</v>
      </c>
      <c r="D29" s="10">
        <v>8800</v>
      </c>
      <c r="E29" s="1">
        <v>200</v>
      </c>
      <c r="F29" s="14" t="s">
        <v>80</v>
      </c>
      <c r="G29" s="35">
        <f t="shared" si="0"/>
        <v>14551</v>
      </c>
    </row>
    <row r="30" spans="1:7" ht="66" x14ac:dyDescent="0.2">
      <c r="A30" s="2">
        <v>45898</v>
      </c>
      <c r="B30" s="1" t="s">
        <v>43</v>
      </c>
      <c r="C30" s="35">
        <f t="shared" si="1"/>
        <v>14551</v>
      </c>
      <c r="D30" s="10">
        <v>8150</v>
      </c>
      <c r="E30" s="10">
        <v>8180</v>
      </c>
      <c r="F30" s="11" t="s">
        <v>82</v>
      </c>
      <c r="G30" s="35">
        <f t="shared" si="0"/>
        <v>14521</v>
      </c>
    </row>
    <row r="31" spans="1:7" ht="61" x14ac:dyDescent="0.2">
      <c r="A31" s="2">
        <v>45899</v>
      </c>
      <c r="B31" s="1" t="s">
        <v>43</v>
      </c>
      <c r="C31" s="35">
        <f t="shared" si="1"/>
        <v>14521</v>
      </c>
      <c r="D31" s="10">
        <v>8730</v>
      </c>
      <c r="E31" s="10">
        <v>11060</v>
      </c>
      <c r="F31" s="5" t="s">
        <v>83</v>
      </c>
      <c r="G31" s="35">
        <f t="shared" si="0"/>
        <v>12191</v>
      </c>
    </row>
    <row r="32" spans="1:7" x14ac:dyDescent="0.2">
      <c r="A32" s="2">
        <v>45900</v>
      </c>
      <c r="B32" s="65" t="s">
        <v>16</v>
      </c>
      <c r="C32" s="35">
        <f t="shared" si="1"/>
        <v>12191</v>
      </c>
      <c r="D32" s="1">
        <v>0</v>
      </c>
      <c r="E32" s="1">
        <v>0</v>
      </c>
      <c r="F32" s="1" t="s">
        <v>16</v>
      </c>
      <c r="G32" s="35">
        <f t="shared" si="0"/>
        <v>12191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057C-BEFA-4E21-8BF1-24028F30534D}">
  <dimension ref="A1:G31"/>
  <sheetViews>
    <sheetView zoomScaleNormal="100" workbookViewId="0">
      <pane ySplit="1" topLeftCell="A27" activePane="bottomLeft" state="frozen"/>
      <selection pane="bottomLeft" activeCell="H1" sqref="H1:I1048576"/>
    </sheetView>
  </sheetViews>
  <sheetFormatPr baseColWidth="10" defaultColWidth="8.83203125" defaultRowHeight="15" x14ac:dyDescent="0.2"/>
  <cols>
    <col min="1" max="1" width="9.83203125" bestFit="1" customWidth="1"/>
    <col min="2" max="2" width="10.33203125" bestFit="1" customWidth="1"/>
    <col min="3" max="3" width="20.5" customWidth="1"/>
    <col min="4" max="4" width="18.5" customWidth="1"/>
    <col min="5" max="5" width="16.5" customWidth="1"/>
    <col min="6" max="6" width="25.6640625" customWidth="1"/>
    <col min="7" max="7" width="15.5" style="12" customWidth="1"/>
    <col min="8" max="8" width="18.6640625" customWidth="1"/>
  </cols>
  <sheetData>
    <row r="1" spans="1:7" ht="24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</row>
    <row r="2" spans="1:7" ht="45" x14ac:dyDescent="0.2">
      <c r="A2" s="2">
        <v>45901</v>
      </c>
      <c r="B2" s="2" t="s">
        <v>43</v>
      </c>
      <c r="C2" s="35">
        <f>'Aug-25'!G32</f>
        <v>12191</v>
      </c>
      <c r="D2" s="10">
        <v>4060</v>
      </c>
      <c r="E2" s="10">
        <v>4600</v>
      </c>
      <c r="F2" s="25" t="s">
        <v>84</v>
      </c>
      <c r="G2" s="35">
        <f t="shared" ref="G2:G31" si="0">C2+D2-E2</f>
        <v>11651</v>
      </c>
    </row>
    <row r="3" spans="1:7" ht="40" x14ac:dyDescent="0.2">
      <c r="A3" s="2">
        <v>45902</v>
      </c>
      <c r="B3" s="2" t="s">
        <v>43</v>
      </c>
      <c r="C3" s="35">
        <f>G2</f>
        <v>11651</v>
      </c>
      <c r="D3" s="10">
        <v>4590</v>
      </c>
      <c r="E3" s="10">
        <v>1090</v>
      </c>
      <c r="F3" s="11" t="s">
        <v>85</v>
      </c>
      <c r="G3" s="35">
        <f t="shared" si="0"/>
        <v>15151</v>
      </c>
    </row>
    <row r="4" spans="1:7" ht="37" x14ac:dyDescent="0.2">
      <c r="A4" s="2">
        <v>45903</v>
      </c>
      <c r="B4" s="2" t="s">
        <v>8</v>
      </c>
      <c r="C4" s="35">
        <f t="shared" ref="C4:C31" si="1">G3</f>
        <v>15151</v>
      </c>
      <c r="D4" s="1">
        <v>0</v>
      </c>
      <c r="E4" s="10">
        <v>6480</v>
      </c>
      <c r="F4" s="5" t="s">
        <v>86</v>
      </c>
      <c r="G4" s="35">
        <f t="shared" si="0"/>
        <v>8671</v>
      </c>
    </row>
    <row r="5" spans="1:7" ht="16" x14ac:dyDescent="0.2">
      <c r="A5" s="2">
        <v>45904</v>
      </c>
      <c r="B5" s="2" t="s">
        <v>8</v>
      </c>
      <c r="C5" s="35">
        <f t="shared" si="1"/>
        <v>8671</v>
      </c>
      <c r="D5" s="1">
        <v>0</v>
      </c>
      <c r="E5" s="10">
        <v>3000</v>
      </c>
      <c r="F5" s="14" t="s">
        <v>87</v>
      </c>
      <c r="G5" s="35">
        <f t="shared" si="0"/>
        <v>5671</v>
      </c>
    </row>
    <row r="6" spans="1:7" ht="53" x14ac:dyDescent="0.2">
      <c r="A6" s="2">
        <v>45905</v>
      </c>
      <c r="B6" s="2" t="s">
        <v>43</v>
      </c>
      <c r="C6" s="35">
        <f t="shared" si="1"/>
        <v>5671</v>
      </c>
      <c r="D6" s="10">
        <v>16720</v>
      </c>
      <c r="E6" s="10">
        <v>9320</v>
      </c>
      <c r="F6" s="11" t="s">
        <v>90</v>
      </c>
      <c r="G6" s="35">
        <f t="shared" si="0"/>
        <v>13071</v>
      </c>
    </row>
    <row r="7" spans="1:7" x14ac:dyDescent="0.2">
      <c r="A7" s="2">
        <v>45906</v>
      </c>
      <c r="B7" s="1" t="s">
        <v>43</v>
      </c>
      <c r="C7" s="35">
        <f t="shared" si="1"/>
        <v>13071</v>
      </c>
      <c r="D7" s="10">
        <v>6420</v>
      </c>
      <c r="E7" s="14">
        <v>690</v>
      </c>
      <c r="F7" s="11" t="s">
        <v>91</v>
      </c>
      <c r="G7" s="35">
        <f t="shared" si="0"/>
        <v>18801</v>
      </c>
    </row>
    <row r="8" spans="1:7" ht="32" x14ac:dyDescent="0.2">
      <c r="A8" s="2">
        <v>45907</v>
      </c>
      <c r="B8" s="30" t="s">
        <v>16</v>
      </c>
      <c r="C8" s="35">
        <f t="shared" si="1"/>
        <v>18801</v>
      </c>
      <c r="D8" s="1">
        <v>0</v>
      </c>
      <c r="E8" s="1">
        <v>600</v>
      </c>
      <c r="F8" s="14" t="s">
        <v>92</v>
      </c>
      <c r="G8" s="35">
        <f t="shared" si="0"/>
        <v>18201</v>
      </c>
    </row>
    <row r="9" spans="1:7" ht="40" x14ac:dyDescent="0.2">
      <c r="A9" s="2">
        <v>45908</v>
      </c>
      <c r="B9" s="1" t="s">
        <v>8</v>
      </c>
      <c r="C9" s="35">
        <f t="shared" si="1"/>
        <v>18201</v>
      </c>
      <c r="D9" s="1">
        <v>0</v>
      </c>
      <c r="E9" s="13">
        <v>2450</v>
      </c>
      <c r="F9" s="11" t="s">
        <v>93</v>
      </c>
      <c r="G9" s="35">
        <f t="shared" si="0"/>
        <v>15751</v>
      </c>
    </row>
    <row r="10" spans="1:7" ht="66" x14ac:dyDescent="0.2">
      <c r="A10" s="2">
        <v>45909</v>
      </c>
      <c r="B10" s="1" t="s">
        <v>8</v>
      </c>
      <c r="C10" s="35">
        <f t="shared" si="1"/>
        <v>15751</v>
      </c>
      <c r="D10" s="1">
        <v>0</v>
      </c>
      <c r="E10" s="10">
        <v>9770</v>
      </c>
      <c r="F10" s="11" t="s">
        <v>94</v>
      </c>
      <c r="G10" s="35">
        <f t="shared" si="0"/>
        <v>5981</v>
      </c>
    </row>
    <row r="11" spans="1:7" x14ac:dyDescent="0.2">
      <c r="A11" s="2">
        <v>45910</v>
      </c>
      <c r="B11" s="1" t="s">
        <v>8</v>
      </c>
      <c r="C11" s="35">
        <f t="shared" si="1"/>
        <v>5981</v>
      </c>
      <c r="D11" s="1">
        <v>0</v>
      </c>
      <c r="E11" s="1">
        <v>90</v>
      </c>
      <c r="F11" s="1" t="s">
        <v>95</v>
      </c>
      <c r="G11" s="35">
        <f t="shared" si="0"/>
        <v>5891</v>
      </c>
    </row>
    <row r="12" spans="1:7" ht="49" x14ac:dyDescent="0.2">
      <c r="A12" s="2">
        <v>45911</v>
      </c>
      <c r="B12" s="1" t="s">
        <v>41</v>
      </c>
      <c r="C12" s="35">
        <f t="shared" si="1"/>
        <v>5891</v>
      </c>
      <c r="D12" s="1">
        <v>57250</v>
      </c>
      <c r="E12" s="10">
        <v>44660</v>
      </c>
      <c r="F12" s="5" t="s">
        <v>96</v>
      </c>
      <c r="G12" s="35">
        <f t="shared" si="0"/>
        <v>18481</v>
      </c>
    </row>
    <row r="13" spans="1:7" ht="27" x14ac:dyDescent="0.2">
      <c r="A13" s="2">
        <v>45912</v>
      </c>
      <c r="B13" s="1" t="s">
        <v>43</v>
      </c>
      <c r="C13" s="35">
        <f t="shared" si="1"/>
        <v>18481</v>
      </c>
      <c r="D13" s="10">
        <v>7680</v>
      </c>
      <c r="E13" s="10">
        <v>6060</v>
      </c>
      <c r="F13" s="11" t="s">
        <v>97</v>
      </c>
      <c r="G13" s="35">
        <f t="shared" si="0"/>
        <v>20101</v>
      </c>
    </row>
    <row r="14" spans="1:7" ht="48" x14ac:dyDescent="0.2">
      <c r="A14" s="2">
        <v>45913</v>
      </c>
      <c r="B14" s="1" t="s">
        <v>41</v>
      </c>
      <c r="C14" s="35">
        <f t="shared" si="1"/>
        <v>20101</v>
      </c>
      <c r="D14" s="10">
        <v>4740</v>
      </c>
      <c r="E14" s="13">
        <v>16790</v>
      </c>
      <c r="F14" s="26" t="s">
        <v>98</v>
      </c>
      <c r="G14" s="35">
        <f t="shared" si="0"/>
        <v>8051</v>
      </c>
    </row>
    <row r="15" spans="1:7" x14ac:dyDescent="0.2">
      <c r="A15" s="2">
        <v>45914</v>
      </c>
      <c r="B15" s="65" t="s">
        <v>16</v>
      </c>
      <c r="C15" s="35">
        <f t="shared" si="1"/>
        <v>8051</v>
      </c>
      <c r="D15" s="1">
        <v>0</v>
      </c>
      <c r="E15" s="1">
        <v>0</v>
      </c>
      <c r="F15" s="1" t="s">
        <v>8</v>
      </c>
      <c r="G15" s="35">
        <f t="shared" si="0"/>
        <v>8051</v>
      </c>
    </row>
    <row r="16" spans="1:7" x14ac:dyDescent="0.2">
      <c r="A16" s="2">
        <v>45915</v>
      </c>
      <c r="B16" s="1" t="s">
        <v>41</v>
      </c>
      <c r="C16" s="35">
        <f t="shared" si="1"/>
        <v>8051</v>
      </c>
      <c r="D16" s="10">
        <v>1500</v>
      </c>
      <c r="E16" s="1">
        <v>350</v>
      </c>
      <c r="F16" s="1" t="s">
        <v>99</v>
      </c>
      <c r="G16" s="35">
        <f t="shared" si="0"/>
        <v>9201</v>
      </c>
    </row>
    <row r="17" spans="1:7" ht="26" x14ac:dyDescent="0.2">
      <c r="A17" s="2">
        <v>45916</v>
      </c>
      <c r="B17" s="1" t="s">
        <v>41</v>
      </c>
      <c r="C17" s="35">
        <f t="shared" si="1"/>
        <v>9201</v>
      </c>
      <c r="D17" s="10">
        <v>6490</v>
      </c>
      <c r="E17" s="10">
        <v>4980</v>
      </c>
      <c r="F17" s="27" t="s">
        <v>102</v>
      </c>
      <c r="G17" s="35">
        <f t="shared" si="0"/>
        <v>10711</v>
      </c>
    </row>
    <row r="18" spans="1:7" ht="26" x14ac:dyDescent="0.2">
      <c r="A18" s="2">
        <v>45917</v>
      </c>
      <c r="B18" s="1" t="s">
        <v>41</v>
      </c>
      <c r="C18" s="35">
        <f t="shared" si="1"/>
        <v>10711</v>
      </c>
      <c r="D18" s="10">
        <v>7030</v>
      </c>
      <c r="E18" s="10">
        <v>4650</v>
      </c>
      <c r="F18" s="27" t="s">
        <v>100</v>
      </c>
      <c r="G18" s="35">
        <f t="shared" si="0"/>
        <v>13091</v>
      </c>
    </row>
    <row r="19" spans="1:7" ht="36" x14ac:dyDescent="0.2">
      <c r="A19" s="2">
        <v>45918</v>
      </c>
      <c r="B19" s="18" t="s">
        <v>41</v>
      </c>
      <c r="C19" s="35">
        <f t="shared" si="1"/>
        <v>13091</v>
      </c>
      <c r="D19" s="106">
        <v>7200</v>
      </c>
      <c r="E19" s="106">
        <v>2010</v>
      </c>
      <c r="F19" s="28" t="s">
        <v>101</v>
      </c>
      <c r="G19" s="35">
        <f t="shared" si="0"/>
        <v>18281</v>
      </c>
    </row>
    <row r="20" spans="1:7" ht="53" x14ac:dyDescent="0.2">
      <c r="A20" s="2">
        <v>45919</v>
      </c>
      <c r="B20" s="18" t="s">
        <v>41</v>
      </c>
      <c r="C20" s="35">
        <f t="shared" si="1"/>
        <v>18281</v>
      </c>
      <c r="D20" s="10">
        <v>6590</v>
      </c>
      <c r="E20" s="10">
        <v>13680</v>
      </c>
      <c r="F20" s="11" t="s">
        <v>103</v>
      </c>
      <c r="G20" s="35">
        <f t="shared" si="0"/>
        <v>11191</v>
      </c>
    </row>
    <row r="21" spans="1:7" ht="61" x14ac:dyDescent="0.2">
      <c r="A21" s="2">
        <v>45920</v>
      </c>
      <c r="B21" s="1" t="s">
        <v>41</v>
      </c>
      <c r="C21" s="35">
        <f t="shared" si="1"/>
        <v>11191</v>
      </c>
      <c r="D21" s="107">
        <v>5110</v>
      </c>
      <c r="E21" s="107">
        <v>8690</v>
      </c>
      <c r="F21" s="29" t="s">
        <v>104</v>
      </c>
      <c r="G21" s="35">
        <f t="shared" si="0"/>
        <v>7611</v>
      </c>
    </row>
    <row r="22" spans="1:7" x14ac:dyDescent="0.2">
      <c r="A22" s="2">
        <v>45921</v>
      </c>
      <c r="B22" s="108" t="s">
        <v>16</v>
      </c>
      <c r="C22" s="35">
        <f t="shared" si="1"/>
        <v>7611</v>
      </c>
      <c r="D22" s="19">
        <v>0</v>
      </c>
      <c r="E22" s="19">
        <v>0</v>
      </c>
      <c r="F22" s="19" t="s">
        <v>8</v>
      </c>
      <c r="G22" s="35">
        <f t="shared" si="0"/>
        <v>7611</v>
      </c>
    </row>
    <row r="23" spans="1:7" ht="40" x14ac:dyDescent="0.2">
      <c r="A23" s="2">
        <v>45922</v>
      </c>
      <c r="B23" s="1" t="s">
        <v>8</v>
      </c>
      <c r="C23" s="35">
        <f t="shared" si="1"/>
        <v>7611</v>
      </c>
      <c r="D23" s="19">
        <v>0</v>
      </c>
      <c r="E23" s="10">
        <v>4280</v>
      </c>
      <c r="F23" s="9" t="s">
        <v>105</v>
      </c>
      <c r="G23" s="35">
        <f t="shared" si="0"/>
        <v>3331</v>
      </c>
    </row>
    <row r="24" spans="1:7" ht="27" x14ac:dyDescent="0.2">
      <c r="A24" s="2">
        <v>45923</v>
      </c>
      <c r="B24" s="1" t="s">
        <v>43</v>
      </c>
      <c r="C24" s="35">
        <f t="shared" si="1"/>
        <v>3331</v>
      </c>
      <c r="D24" s="10">
        <v>10600</v>
      </c>
      <c r="E24" s="13">
        <v>3600</v>
      </c>
      <c r="F24" s="9" t="s">
        <v>106</v>
      </c>
      <c r="G24" s="35">
        <f t="shared" si="0"/>
        <v>10331</v>
      </c>
    </row>
    <row r="25" spans="1:7" ht="37" x14ac:dyDescent="0.2">
      <c r="A25" s="2">
        <v>45924</v>
      </c>
      <c r="B25" s="1" t="s">
        <v>43</v>
      </c>
      <c r="C25" s="35">
        <f t="shared" si="1"/>
        <v>10331</v>
      </c>
      <c r="D25" s="10">
        <v>6130</v>
      </c>
      <c r="E25" s="10">
        <v>10450</v>
      </c>
      <c r="F25" s="5" t="s">
        <v>107</v>
      </c>
      <c r="G25" s="35">
        <f t="shared" si="0"/>
        <v>6011</v>
      </c>
    </row>
    <row r="26" spans="1:7" x14ac:dyDescent="0.2">
      <c r="A26" s="2">
        <v>45925</v>
      </c>
      <c r="B26" s="1" t="s">
        <v>43</v>
      </c>
      <c r="C26" s="35">
        <f t="shared" si="1"/>
        <v>6011</v>
      </c>
      <c r="D26" s="10">
        <v>9610</v>
      </c>
      <c r="E26" s="14">
        <v>0</v>
      </c>
      <c r="F26" s="24" t="s">
        <v>8</v>
      </c>
      <c r="G26" s="35">
        <f t="shared" si="0"/>
        <v>15621</v>
      </c>
    </row>
    <row r="27" spans="1:7" ht="37" x14ac:dyDescent="0.2">
      <c r="A27" s="2">
        <v>45926</v>
      </c>
      <c r="B27" s="1" t="s">
        <v>43</v>
      </c>
      <c r="C27" s="35">
        <f t="shared" si="1"/>
        <v>15621</v>
      </c>
      <c r="D27" s="10">
        <v>3000</v>
      </c>
      <c r="E27" s="10">
        <v>7440</v>
      </c>
      <c r="F27" s="5" t="s">
        <v>108</v>
      </c>
      <c r="G27" s="35">
        <f t="shared" si="0"/>
        <v>11181</v>
      </c>
    </row>
    <row r="28" spans="1:7" ht="48" x14ac:dyDescent="0.2">
      <c r="A28" s="2">
        <v>45927</v>
      </c>
      <c r="B28" s="1" t="s">
        <v>8</v>
      </c>
      <c r="C28" s="35">
        <f t="shared" si="1"/>
        <v>11181</v>
      </c>
      <c r="D28" s="1">
        <v>0</v>
      </c>
      <c r="E28" s="10">
        <v>3890</v>
      </c>
      <c r="F28" s="14" t="s">
        <v>109</v>
      </c>
      <c r="G28" s="35">
        <f t="shared" si="0"/>
        <v>7291</v>
      </c>
    </row>
    <row r="29" spans="1:7" x14ac:dyDescent="0.2">
      <c r="A29" s="2">
        <v>45928</v>
      </c>
      <c r="B29" s="65" t="s">
        <v>16</v>
      </c>
      <c r="C29" s="35">
        <f t="shared" si="1"/>
        <v>7291</v>
      </c>
      <c r="D29" s="1">
        <v>0</v>
      </c>
      <c r="E29" s="1">
        <v>0</v>
      </c>
      <c r="F29" s="1" t="s">
        <v>8</v>
      </c>
      <c r="G29" s="35">
        <f t="shared" si="0"/>
        <v>7291</v>
      </c>
    </row>
    <row r="30" spans="1:7" ht="66" x14ac:dyDescent="0.2">
      <c r="A30" s="2">
        <v>45929</v>
      </c>
      <c r="B30" s="1" t="s">
        <v>8</v>
      </c>
      <c r="C30" s="35">
        <f t="shared" si="1"/>
        <v>7291</v>
      </c>
      <c r="D30" s="1">
        <v>7366</v>
      </c>
      <c r="E30" s="10">
        <v>15245</v>
      </c>
      <c r="F30" s="11" t="s">
        <v>110</v>
      </c>
      <c r="G30" s="35">
        <f t="shared" si="0"/>
        <v>-588</v>
      </c>
    </row>
    <row r="31" spans="1:7" x14ac:dyDescent="0.2">
      <c r="A31" s="2">
        <v>45930</v>
      </c>
      <c r="B31" s="1" t="s">
        <v>8</v>
      </c>
      <c r="C31" s="35">
        <f t="shared" si="1"/>
        <v>-588</v>
      </c>
      <c r="D31" s="1">
        <v>0</v>
      </c>
      <c r="E31" s="1">
        <v>0</v>
      </c>
      <c r="F31" s="1" t="s">
        <v>8</v>
      </c>
      <c r="G31" s="35">
        <f t="shared" si="0"/>
        <v>-588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1BA-5341-4893-A0A0-2EE1AE71CB1F}">
  <dimension ref="A1:I32"/>
  <sheetViews>
    <sheetView zoomScaleNormal="100" workbookViewId="0">
      <pane ySplit="1" topLeftCell="A27" activePane="bottomLeft" state="frozen"/>
      <selection pane="bottomLeft" activeCell="H1" sqref="H1:I1048576"/>
    </sheetView>
  </sheetViews>
  <sheetFormatPr baseColWidth="10" defaultColWidth="8.83203125" defaultRowHeight="15" x14ac:dyDescent="0.2"/>
  <cols>
    <col min="1" max="1" width="9.83203125" bestFit="1" customWidth="1"/>
    <col min="2" max="2" width="11.5" bestFit="1" customWidth="1"/>
    <col min="3" max="3" width="17.1640625" customWidth="1"/>
    <col min="4" max="4" width="16.5" customWidth="1"/>
    <col min="5" max="5" width="22.1640625" customWidth="1"/>
    <col min="6" max="6" width="25.6640625" customWidth="1"/>
    <col min="7" max="7" width="14.6640625" style="12" customWidth="1"/>
    <col min="8" max="8" width="18.6640625" customWidth="1"/>
  </cols>
  <sheetData>
    <row r="1" spans="1:7" ht="24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</row>
    <row r="2" spans="1:7" ht="49" x14ac:dyDescent="0.2">
      <c r="A2" s="2">
        <v>45931</v>
      </c>
      <c r="B2" s="2" t="s">
        <v>112</v>
      </c>
      <c r="C2" s="35">
        <f>'Sep-25'!G31</f>
        <v>-588</v>
      </c>
      <c r="D2" s="10">
        <v>14980</v>
      </c>
      <c r="E2" s="13">
        <v>12899</v>
      </c>
      <c r="F2" s="5" t="s">
        <v>111</v>
      </c>
      <c r="G2" s="35">
        <f t="shared" ref="G2:G32" si="0">C2+D2-E2</f>
        <v>1493</v>
      </c>
    </row>
    <row r="3" spans="1:7" x14ac:dyDescent="0.2">
      <c r="A3" s="2">
        <v>45932</v>
      </c>
      <c r="B3" s="30" t="s">
        <v>72</v>
      </c>
      <c r="C3" s="35">
        <f>G2</f>
        <v>1493</v>
      </c>
      <c r="D3" s="1">
        <v>0</v>
      </c>
      <c r="E3" s="1">
        <v>0</v>
      </c>
      <c r="F3" s="1" t="s">
        <v>8</v>
      </c>
      <c r="G3" s="35">
        <f t="shared" si="0"/>
        <v>1493</v>
      </c>
    </row>
    <row r="4" spans="1:7" x14ac:dyDescent="0.2">
      <c r="A4" s="2">
        <v>45933</v>
      </c>
      <c r="B4" s="30" t="s">
        <v>72</v>
      </c>
      <c r="C4" s="35">
        <f t="shared" ref="C4:C32" si="1">G3</f>
        <v>1493</v>
      </c>
      <c r="D4" s="1">
        <v>0</v>
      </c>
      <c r="E4" s="1">
        <v>0</v>
      </c>
      <c r="F4" s="1" t="s">
        <v>8</v>
      </c>
      <c r="G4" s="35">
        <f t="shared" si="0"/>
        <v>1493</v>
      </c>
    </row>
    <row r="5" spans="1:7" ht="73" x14ac:dyDescent="0.2">
      <c r="A5" s="2">
        <v>45934</v>
      </c>
      <c r="B5" s="2" t="s">
        <v>41</v>
      </c>
      <c r="C5" s="35">
        <f t="shared" si="1"/>
        <v>1493</v>
      </c>
      <c r="D5" s="10">
        <v>21210</v>
      </c>
      <c r="E5" s="10">
        <v>13020</v>
      </c>
      <c r="F5" s="5" t="s">
        <v>113</v>
      </c>
      <c r="G5" s="35">
        <f t="shared" si="0"/>
        <v>9683</v>
      </c>
    </row>
    <row r="6" spans="1:7" x14ac:dyDescent="0.2">
      <c r="A6" s="2">
        <v>45935</v>
      </c>
      <c r="B6" s="30" t="s">
        <v>16</v>
      </c>
      <c r="C6" s="35">
        <f t="shared" si="1"/>
        <v>9683</v>
      </c>
      <c r="D6" s="1">
        <v>0</v>
      </c>
      <c r="E6" s="1">
        <v>0</v>
      </c>
      <c r="F6" s="1" t="s">
        <v>8</v>
      </c>
      <c r="G6" s="35">
        <f t="shared" si="0"/>
        <v>9683</v>
      </c>
    </row>
    <row r="7" spans="1:7" ht="37" x14ac:dyDescent="0.2">
      <c r="A7" s="2">
        <v>45936</v>
      </c>
      <c r="B7" s="1" t="s">
        <v>41</v>
      </c>
      <c r="C7" s="35">
        <f t="shared" si="1"/>
        <v>9683</v>
      </c>
      <c r="D7" s="10">
        <v>4440</v>
      </c>
      <c r="E7" s="13">
        <v>8080</v>
      </c>
      <c r="F7" s="5" t="s">
        <v>114</v>
      </c>
      <c r="G7" s="35">
        <f t="shared" si="0"/>
        <v>6043</v>
      </c>
    </row>
    <row r="8" spans="1:7" s="73" customFormat="1" x14ac:dyDescent="0.2">
      <c r="A8" s="67">
        <v>45937</v>
      </c>
      <c r="B8" s="67" t="s">
        <v>43</v>
      </c>
      <c r="C8" s="35">
        <f t="shared" si="1"/>
        <v>6043</v>
      </c>
      <c r="D8" s="75">
        <v>1200</v>
      </c>
      <c r="E8" s="71">
        <v>410</v>
      </c>
      <c r="F8" s="76" t="s">
        <v>218</v>
      </c>
      <c r="G8" s="35">
        <f t="shared" si="0"/>
        <v>6833</v>
      </c>
    </row>
    <row r="9" spans="1:7" ht="40" x14ac:dyDescent="0.2">
      <c r="A9" s="2">
        <v>45938</v>
      </c>
      <c r="B9" s="2" t="s">
        <v>43</v>
      </c>
      <c r="C9" s="35">
        <f t="shared" si="1"/>
        <v>6833</v>
      </c>
      <c r="D9" s="10">
        <v>9730</v>
      </c>
      <c r="E9" s="13">
        <v>12300</v>
      </c>
      <c r="F9" s="11" t="s">
        <v>115</v>
      </c>
      <c r="G9" s="35">
        <f t="shared" si="0"/>
        <v>4263</v>
      </c>
    </row>
    <row r="10" spans="1:7" ht="27" x14ac:dyDescent="0.2">
      <c r="A10" s="2">
        <v>45939</v>
      </c>
      <c r="B10" s="2" t="s">
        <v>43</v>
      </c>
      <c r="C10" s="35">
        <f>G9</f>
        <v>4263</v>
      </c>
      <c r="D10" s="10">
        <v>6900</v>
      </c>
      <c r="E10" s="10">
        <v>3720</v>
      </c>
      <c r="F10" s="11" t="s">
        <v>116</v>
      </c>
      <c r="G10" s="35">
        <f t="shared" si="0"/>
        <v>7443</v>
      </c>
    </row>
    <row r="11" spans="1:7" ht="49" x14ac:dyDescent="0.2">
      <c r="A11" s="2">
        <v>45940</v>
      </c>
      <c r="B11" s="2" t="s">
        <v>43</v>
      </c>
      <c r="C11" s="35">
        <f t="shared" si="1"/>
        <v>7443</v>
      </c>
      <c r="D11" s="10">
        <v>8590</v>
      </c>
      <c r="E11" s="10">
        <v>14911</v>
      </c>
      <c r="F11" s="5" t="s">
        <v>117</v>
      </c>
      <c r="G11" s="35">
        <f t="shared" si="0"/>
        <v>1122</v>
      </c>
    </row>
    <row r="12" spans="1:7" ht="37" x14ac:dyDescent="0.2">
      <c r="A12" s="2">
        <v>45941</v>
      </c>
      <c r="B12" s="2" t="s">
        <v>43</v>
      </c>
      <c r="C12" s="35">
        <f t="shared" si="1"/>
        <v>1122</v>
      </c>
      <c r="D12" s="10">
        <v>7220</v>
      </c>
      <c r="E12" s="10">
        <v>6380</v>
      </c>
      <c r="F12" s="5" t="s">
        <v>118</v>
      </c>
      <c r="G12" s="35">
        <f t="shared" si="0"/>
        <v>1962</v>
      </c>
    </row>
    <row r="13" spans="1:7" x14ac:dyDescent="0.2">
      <c r="A13" s="2">
        <v>45942</v>
      </c>
      <c r="B13" s="65" t="s">
        <v>16</v>
      </c>
      <c r="C13" s="35">
        <f t="shared" si="1"/>
        <v>1962</v>
      </c>
      <c r="D13" s="1">
        <v>0</v>
      </c>
      <c r="E13" s="1">
        <v>0</v>
      </c>
      <c r="F13" s="1" t="s">
        <v>8</v>
      </c>
      <c r="G13" s="35">
        <f t="shared" si="0"/>
        <v>1962</v>
      </c>
    </row>
    <row r="14" spans="1:7" ht="24" x14ac:dyDescent="0.2">
      <c r="A14" s="2">
        <v>45943</v>
      </c>
      <c r="B14" s="1" t="s">
        <v>41</v>
      </c>
      <c r="C14" s="35">
        <f t="shared" si="1"/>
        <v>1962</v>
      </c>
      <c r="D14" s="10">
        <v>3420</v>
      </c>
      <c r="E14" s="13">
        <v>4630</v>
      </c>
      <c r="F14" s="26" t="s">
        <v>119</v>
      </c>
      <c r="G14" s="35">
        <f t="shared" si="0"/>
        <v>752</v>
      </c>
    </row>
    <row r="15" spans="1:7" ht="27" x14ac:dyDescent="0.2">
      <c r="A15" s="2">
        <v>45944</v>
      </c>
      <c r="B15" s="1" t="s">
        <v>41</v>
      </c>
      <c r="C15" s="35">
        <f t="shared" si="1"/>
        <v>752</v>
      </c>
      <c r="D15" s="10">
        <v>7000</v>
      </c>
      <c r="E15" s="10">
        <v>8030</v>
      </c>
      <c r="F15" s="11" t="s">
        <v>120</v>
      </c>
      <c r="G15" s="35">
        <f t="shared" si="0"/>
        <v>-278</v>
      </c>
    </row>
    <row r="16" spans="1:7" ht="49" x14ac:dyDescent="0.2">
      <c r="A16" s="2">
        <v>45945</v>
      </c>
      <c r="B16" s="2" t="s">
        <v>43</v>
      </c>
      <c r="C16" s="35">
        <f t="shared" si="1"/>
        <v>-278</v>
      </c>
      <c r="D16" s="10">
        <v>6780</v>
      </c>
      <c r="E16" s="10">
        <v>7320</v>
      </c>
      <c r="F16" s="5" t="s">
        <v>121</v>
      </c>
      <c r="G16" s="35">
        <f t="shared" si="0"/>
        <v>-818</v>
      </c>
    </row>
    <row r="17" spans="1:9" ht="30" x14ac:dyDescent="0.2">
      <c r="A17" s="2">
        <v>45946</v>
      </c>
      <c r="B17" s="25" t="s">
        <v>122</v>
      </c>
      <c r="C17" s="35">
        <f t="shared" si="1"/>
        <v>-818</v>
      </c>
      <c r="D17" s="10">
        <v>6970</v>
      </c>
      <c r="E17" s="10">
        <v>3380</v>
      </c>
      <c r="F17" s="31" t="s">
        <v>123</v>
      </c>
      <c r="G17" s="35">
        <f t="shared" si="0"/>
        <v>2772</v>
      </c>
    </row>
    <row r="18" spans="1:9" ht="26" x14ac:dyDescent="0.2">
      <c r="A18" s="2">
        <v>45947</v>
      </c>
      <c r="B18" s="1" t="s">
        <v>41</v>
      </c>
      <c r="C18" s="35">
        <f t="shared" si="1"/>
        <v>2772</v>
      </c>
      <c r="D18" s="10">
        <v>4570</v>
      </c>
      <c r="E18" s="10">
        <v>4440</v>
      </c>
      <c r="F18" s="27" t="s">
        <v>124</v>
      </c>
      <c r="G18" s="35">
        <f t="shared" si="0"/>
        <v>2902</v>
      </c>
    </row>
    <row r="19" spans="1:9" ht="36" x14ac:dyDescent="0.2">
      <c r="A19" s="2">
        <v>45948</v>
      </c>
      <c r="B19" s="25" t="s">
        <v>122</v>
      </c>
      <c r="C19" s="35">
        <f t="shared" si="1"/>
        <v>2902</v>
      </c>
      <c r="D19" s="106">
        <v>7750</v>
      </c>
      <c r="E19" s="106">
        <v>3500</v>
      </c>
      <c r="F19" s="28" t="s">
        <v>125</v>
      </c>
      <c r="G19" s="35">
        <f t="shared" si="0"/>
        <v>7152</v>
      </c>
    </row>
    <row r="20" spans="1:9" x14ac:dyDescent="0.2">
      <c r="A20" s="2">
        <v>45949</v>
      </c>
      <c r="B20" s="109" t="s">
        <v>16</v>
      </c>
      <c r="C20" s="35">
        <f t="shared" si="1"/>
        <v>7152</v>
      </c>
      <c r="D20" s="1">
        <v>0</v>
      </c>
      <c r="E20" s="1">
        <v>0</v>
      </c>
      <c r="F20" s="1" t="s">
        <v>8</v>
      </c>
      <c r="G20" s="35">
        <f t="shared" si="0"/>
        <v>7152</v>
      </c>
    </row>
    <row r="21" spans="1:9" x14ac:dyDescent="0.2">
      <c r="A21" s="2">
        <v>45950</v>
      </c>
      <c r="B21" s="1" t="s">
        <v>126</v>
      </c>
      <c r="C21" s="35">
        <f t="shared" si="1"/>
        <v>7152</v>
      </c>
      <c r="D21" s="107">
        <v>3820</v>
      </c>
      <c r="E21" s="19">
        <v>268</v>
      </c>
      <c r="F21" s="29" t="s">
        <v>127</v>
      </c>
      <c r="G21" s="35">
        <f t="shared" si="0"/>
        <v>10704</v>
      </c>
    </row>
    <row r="22" spans="1:9" s="81" customFormat="1" ht="49" x14ac:dyDescent="0.2">
      <c r="A22" s="77">
        <v>45951</v>
      </c>
      <c r="B22" s="78" t="s">
        <v>128</v>
      </c>
      <c r="C22" s="35">
        <f t="shared" si="1"/>
        <v>10704</v>
      </c>
      <c r="D22" s="110">
        <v>8220</v>
      </c>
      <c r="E22" s="110">
        <v>5080</v>
      </c>
      <c r="F22" s="79" t="s">
        <v>129</v>
      </c>
      <c r="G22" s="35">
        <f t="shared" si="0"/>
        <v>13844</v>
      </c>
      <c r="H22" s="80"/>
      <c r="I22" s="80"/>
    </row>
    <row r="23" spans="1:9" ht="48" x14ac:dyDescent="0.2">
      <c r="A23" s="2">
        <v>45952</v>
      </c>
      <c r="B23" s="1" t="s">
        <v>126</v>
      </c>
      <c r="C23" s="35">
        <f t="shared" si="1"/>
        <v>13844</v>
      </c>
      <c r="D23" s="107">
        <v>3620</v>
      </c>
      <c r="E23" s="10">
        <v>8660</v>
      </c>
      <c r="F23" s="31" t="s">
        <v>130</v>
      </c>
      <c r="G23" s="35">
        <f t="shared" si="0"/>
        <v>8804</v>
      </c>
    </row>
    <row r="24" spans="1:9" ht="25" x14ac:dyDescent="0.2">
      <c r="A24" s="2">
        <v>45953</v>
      </c>
      <c r="B24" s="5" t="s">
        <v>131</v>
      </c>
      <c r="C24" s="35">
        <f t="shared" si="1"/>
        <v>8804</v>
      </c>
      <c r="D24" s="10">
        <v>4920</v>
      </c>
      <c r="E24" s="14">
        <v>380</v>
      </c>
      <c r="F24" s="9" t="s">
        <v>132</v>
      </c>
      <c r="G24" s="35">
        <f t="shared" si="0"/>
        <v>13344</v>
      </c>
    </row>
    <row r="25" spans="1:9" ht="25" x14ac:dyDescent="0.2">
      <c r="A25" s="2">
        <v>45954</v>
      </c>
      <c r="B25" s="1" t="s">
        <v>126</v>
      </c>
      <c r="C25" s="35">
        <f t="shared" si="1"/>
        <v>13344</v>
      </c>
      <c r="D25" s="10">
        <v>7200</v>
      </c>
      <c r="E25" s="10">
        <v>11700</v>
      </c>
      <c r="F25" s="5" t="s">
        <v>133</v>
      </c>
      <c r="G25" s="35">
        <f t="shared" si="0"/>
        <v>8844</v>
      </c>
    </row>
    <row r="26" spans="1:9" x14ac:dyDescent="0.2">
      <c r="A26" s="2">
        <v>45955</v>
      </c>
      <c r="B26" s="1" t="s">
        <v>8</v>
      </c>
      <c r="C26" s="35">
        <f t="shared" si="1"/>
        <v>8844</v>
      </c>
      <c r="D26" s="1">
        <v>0</v>
      </c>
      <c r="E26" s="14">
        <v>0</v>
      </c>
      <c r="F26" s="24" t="s">
        <v>8</v>
      </c>
      <c r="G26" s="35">
        <f t="shared" si="0"/>
        <v>8844</v>
      </c>
    </row>
    <row r="27" spans="1:9" x14ac:dyDescent="0.2">
      <c r="A27" s="2">
        <v>45956</v>
      </c>
      <c r="B27" s="65" t="s">
        <v>16</v>
      </c>
      <c r="C27" s="35">
        <f t="shared" si="1"/>
        <v>8844</v>
      </c>
      <c r="D27" s="1">
        <v>0</v>
      </c>
      <c r="E27" s="1">
        <v>0</v>
      </c>
      <c r="F27" s="1">
        <v>0</v>
      </c>
      <c r="G27" s="35">
        <f t="shared" si="0"/>
        <v>8844</v>
      </c>
    </row>
    <row r="28" spans="1:9" ht="49" x14ac:dyDescent="0.2">
      <c r="A28" s="2">
        <v>45957</v>
      </c>
      <c r="B28" s="15" t="s">
        <v>134</v>
      </c>
      <c r="C28" s="35">
        <f t="shared" si="1"/>
        <v>8844</v>
      </c>
      <c r="D28" s="10">
        <v>8570</v>
      </c>
      <c r="E28" s="10">
        <v>7150</v>
      </c>
      <c r="F28" s="5" t="s">
        <v>136</v>
      </c>
      <c r="G28" s="35">
        <f t="shared" si="0"/>
        <v>10264</v>
      </c>
      <c r="H28" s="32" t="s">
        <v>135</v>
      </c>
    </row>
    <row r="29" spans="1:9" ht="25" x14ac:dyDescent="0.2">
      <c r="A29" s="2">
        <v>45958</v>
      </c>
      <c r="B29" s="1" t="s">
        <v>43</v>
      </c>
      <c r="C29" s="35">
        <f t="shared" si="1"/>
        <v>10264</v>
      </c>
      <c r="D29" s="1">
        <v>210</v>
      </c>
      <c r="E29" s="10">
        <v>3530</v>
      </c>
      <c r="F29" s="5" t="s">
        <v>137</v>
      </c>
      <c r="G29" s="35">
        <f t="shared" si="0"/>
        <v>6944</v>
      </c>
    </row>
    <row r="30" spans="1:9" ht="27" x14ac:dyDescent="0.2">
      <c r="A30" s="2">
        <v>45959</v>
      </c>
      <c r="B30" s="1" t="s">
        <v>8</v>
      </c>
      <c r="C30" s="35">
        <f t="shared" si="1"/>
        <v>6944</v>
      </c>
      <c r="D30" s="1">
        <v>0</v>
      </c>
      <c r="E30" s="10">
        <v>3360</v>
      </c>
      <c r="F30" s="11" t="s">
        <v>138</v>
      </c>
      <c r="G30" s="35">
        <f t="shared" si="0"/>
        <v>3584</v>
      </c>
    </row>
    <row r="31" spans="1:9" ht="27" x14ac:dyDescent="0.2">
      <c r="A31" s="2">
        <v>45960</v>
      </c>
      <c r="B31" s="15" t="s">
        <v>134</v>
      </c>
      <c r="C31" s="35">
        <f t="shared" si="1"/>
        <v>3584</v>
      </c>
      <c r="D31" s="10">
        <v>11940</v>
      </c>
      <c r="E31" s="1">
        <v>490</v>
      </c>
      <c r="F31" s="1" t="s">
        <v>139</v>
      </c>
      <c r="G31" s="35">
        <f t="shared" si="0"/>
        <v>15034</v>
      </c>
    </row>
    <row r="32" spans="1:9" ht="61" x14ac:dyDescent="0.2">
      <c r="A32" s="2">
        <v>45961</v>
      </c>
      <c r="B32" s="15" t="s">
        <v>134</v>
      </c>
      <c r="C32" s="35">
        <f t="shared" si="1"/>
        <v>15034</v>
      </c>
      <c r="D32" s="10">
        <v>10690</v>
      </c>
      <c r="E32" s="10">
        <v>18180</v>
      </c>
      <c r="F32" s="5" t="s">
        <v>140</v>
      </c>
      <c r="G32" s="35">
        <f t="shared" si="0"/>
        <v>7544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198-9544-4DBF-BC26-B578C26B4EDD}">
  <dimension ref="A1:J30"/>
  <sheetViews>
    <sheetView zoomScale="85" zoomScaleNormal="85" workbookViewId="0">
      <pane ySplit="1" topLeftCell="A23" activePane="bottomLeft" state="frozen"/>
      <selection pane="bottomLeft" activeCell="A31" sqref="A31:XFD33"/>
    </sheetView>
  </sheetViews>
  <sheetFormatPr baseColWidth="10" defaultColWidth="8.83203125" defaultRowHeight="15" x14ac:dyDescent="0.2"/>
  <cols>
    <col min="1" max="1" width="9.83203125" bestFit="1" customWidth="1"/>
    <col min="2" max="2" width="11.5" style="39" bestFit="1" customWidth="1"/>
    <col min="3" max="3" width="25.5" bestFit="1" customWidth="1"/>
    <col min="4" max="4" width="22.1640625" bestFit="1" customWidth="1"/>
    <col min="5" max="5" width="17.5" bestFit="1" customWidth="1"/>
    <col min="6" max="6" width="25.6640625" customWidth="1"/>
    <col min="7" max="7" width="25.33203125" style="12" bestFit="1" customWidth="1"/>
    <col min="8" max="8" width="22" bestFit="1" customWidth="1"/>
    <col min="9" max="9" width="31.1640625" style="23" customWidth="1"/>
    <col min="10" max="10" width="18.6640625" customWidth="1"/>
  </cols>
  <sheetData>
    <row r="1" spans="1:9" ht="25" x14ac:dyDescent="0.3">
      <c r="A1" s="6" t="s">
        <v>0</v>
      </c>
      <c r="B1" s="3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20" t="s">
        <v>61</v>
      </c>
      <c r="I1" s="7" t="s">
        <v>88</v>
      </c>
    </row>
    <row r="2" spans="1:9" ht="25" x14ac:dyDescent="0.2">
      <c r="A2" s="2">
        <v>45962</v>
      </c>
      <c r="B2" s="38" t="s">
        <v>43</v>
      </c>
      <c r="C2" s="35">
        <f>'Oct-25'!G32</f>
        <v>7544</v>
      </c>
      <c r="D2" s="10">
        <v>7840</v>
      </c>
      <c r="E2" s="13">
        <v>3570</v>
      </c>
      <c r="F2" s="5" t="s">
        <v>141</v>
      </c>
      <c r="G2" s="35">
        <f t="shared" ref="G2:G30" si="0">C2+D2-E2</f>
        <v>11814</v>
      </c>
      <c r="H2" s="1" t="s">
        <v>8</v>
      </c>
      <c r="I2" s="22" t="s">
        <v>8</v>
      </c>
    </row>
    <row r="3" spans="1:9" ht="16" x14ac:dyDescent="0.2">
      <c r="A3" s="2">
        <v>45963</v>
      </c>
      <c r="B3" s="111" t="s">
        <v>16</v>
      </c>
      <c r="C3" s="35">
        <f>G2</f>
        <v>11814</v>
      </c>
      <c r="D3" s="1">
        <v>0</v>
      </c>
      <c r="E3" s="1">
        <v>0</v>
      </c>
      <c r="F3" s="1" t="s">
        <v>8</v>
      </c>
      <c r="G3" s="35">
        <f t="shared" si="0"/>
        <v>11814</v>
      </c>
      <c r="H3" s="1" t="s">
        <v>8</v>
      </c>
      <c r="I3" s="22" t="s">
        <v>8</v>
      </c>
    </row>
    <row r="4" spans="1:9" ht="34" x14ac:dyDescent="0.2">
      <c r="A4" s="2">
        <v>45964</v>
      </c>
      <c r="B4" s="34" t="s">
        <v>142</v>
      </c>
      <c r="C4" s="35">
        <f t="shared" ref="C4:C22" si="1">G3</f>
        <v>11814</v>
      </c>
      <c r="D4" s="10">
        <v>12470</v>
      </c>
      <c r="E4" s="10">
        <v>4000</v>
      </c>
      <c r="F4" s="5" t="s">
        <v>143</v>
      </c>
      <c r="G4" s="35">
        <f t="shared" si="0"/>
        <v>20284</v>
      </c>
      <c r="H4" s="1" t="s">
        <v>8</v>
      </c>
      <c r="I4" s="1" t="s">
        <v>8</v>
      </c>
    </row>
    <row r="5" spans="1:9" ht="30" x14ac:dyDescent="0.2">
      <c r="A5" s="2">
        <v>45965</v>
      </c>
      <c r="B5" s="33" t="s">
        <v>144</v>
      </c>
      <c r="C5" s="35">
        <f t="shared" si="1"/>
        <v>20284</v>
      </c>
      <c r="D5" s="10">
        <v>8560</v>
      </c>
      <c r="E5" s="10">
        <v>3510</v>
      </c>
      <c r="F5" s="5" t="s">
        <v>145</v>
      </c>
      <c r="G5" s="35">
        <f t="shared" si="0"/>
        <v>25334</v>
      </c>
      <c r="H5" s="1" t="s">
        <v>8</v>
      </c>
      <c r="I5" s="22" t="s">
        <v>8</v>
      </c>
    </row>
    <row r="6" spans="1:9" ht="30" x14ac:dyDescent="0.2">
      <c r="A6" s="2">
        <v>45966</v>
      </c>
      <c r="B6" s="33" t="s">
        <v>144</v>
      </c>
      <c r="C6" s="35">
        <f t="shared" si="1"/>
        <v>25334</v>
      </c>
      <c r="D6" s="10">
        <v>11850</v>
      </c>
      <c r="E6" s="10">
        <v>3000</v>
      </c>
      <c r="F6" s="5" t="s">
        <v>146</v>
      </c>
      <c r="G6" s="35">
        <f t="shared" si="0"/>
        <v>34184</v>
      </c>
      <c r="H6" s="1" t="s">
        <v>8</v>
      </c>
      <c r="I6" s="1" t="s">
        <v>8</v>
      </c>
    </row>
    <row r="7" spans="1:9" ht="30" x14ac:dyDescent="0.2">
      <c r="A7" s="2">
        <v>45967</v>
      </c>
      <c r="B7" s="33" t="s">
        <v>144</v>
      </c>
      <c r="C7" s="35">
        <f t="shared" si="1"/>
        <v>34184</v>
      </c>
      <c r="D7" s="10">
        <v>10100</v>
      </c>
      <c r="E7" s="13">
        <v>2170</v>
      </c>
      <c r="F7" s="5" t="s">
        <v>147</v>
      </c>
      <c r="G7" s="35">
        <f t="shared" si="0"/>
        <v>42114</v>
      </c>
      <c r="H7" s="1" t="s">
        <v>8</v>
      </c>
      <c r="I7" s="22" t="s">
        <v>8</v>
      </c>
    </row>
    <row r="8" spans="1:9" ht="37" x14ac:dyDescent="0.2">
      <c r="A8" s="2">
        <v>45968</v>
      </c>
      <c r="B8" s="33" t="s">
        <v>144</v>
      </c>
      <c r="C8" s="35">
        <f t="shared" si="1"/>
        <v>42114</v>
      </c>
      <c r="D8" s="10">
        <v>9160</v>
      </c>
      <c r="E8" s="10">
        <v>1970</v>
      </c>
      <c r="F8" s="5" t="s">
        <v>148</v>
      </c>
      <c r="G8" s="35">
        <f t="shared" si="0"/>
        <v>49304</v>
      </c>
      <c r="H8" s="1" t="s">
        <v>8</v>
      </c>
      <c r="I8" s="22" t="s">
        <v>8</v>
      </c>
    </row>
    <row r="9" spans="1:9" ht="79" x14ac:dyDescent="0.2">
      <c r="A9" s="2">
        <v>45969</v>
      </c>
      <c r="B9" s="38" t="s">
        <v>149</v>
      </c>
      <c r="C9" s="35">
        <f t="shared" si="1"/>
        <v>49304</v>
      </c>
      <c r="D9" s="10">
        <v>4050</v>
      </c>
      <c r="E9" s="13">
        <v>17910</v>
      </c>
      <c r="F9" s="11" t="s">
        <v>150</v>
      </c>
      <c r="G9" s="35">
        <f t="shared" si="0"/>
        <v>35444</v>
      </c>
      <c r="H9" s="1" t="s">
        <v>8</v>
      </c>
      <c r="I9" s="22" t="s">
        <v>8</v>
      </c>
    </row>
    <row r="10" spans="1:9" ht="40" x14ac:dyDescent="0.2">
      <c r="A10" s="2">
        <v>45970</v>
      </c>
      <c r="B10" s="38" t="s">
        <v>8</v>
      </c>
      <c r="C10" s="35">
        <f t="shared" si="1"/>
        <v>35444</v>
      </c>
      <c r="D10" s="1">
        <v>0</v>
      </c>
      <c r="E10" s="10">
        <v>1870</v>
      </c>
      <c r="F10" s="11" t="s">
        <v>151</v>
      </c>
      <c r="G10" s="35">
        <f t="shared" si="0"/>
        <v>33574</v>
      </c>
      <c r="H10" s="1" t="s">
        <v>8</v>
      </c>
      <c r="I10" s="22" t="s">
        <v>8</v>
      </c>
    </row>
    <row r="11" spans="1:9" ht="73" x14ac:dyDescent="0.2">
      <c r="A11" s="2">
        <v>45971</v>
      </c>
      <c r="B11" s="38" t="s">
        <v>152</v>
      </c>
      <c r="C11" s="35">
        <f t="shared" si="1"/>
        <v>33574</v>
      </c>
      <c r="D11" s="10">
        <v>11620</v>
      </c>
      <c r="E11" s="10">
        <v>17740</v>
      </c>
      <c r="F11" s="5" t="s">
        <v>153</v>
      </c>
      <c r="G11" s="35">
        <f t="shared" si="0"/>
        <v>27454</v>
      </c>
      <c r="H11" s="1" t="s">
        <v>8</v>
      </c>
      <c r="I11" s="22" t="s">
        <v>8</v>
      </c>
    </row>
    <row r="12" spans="1:9" ht="49" x14ac:dyDescent="0.2">
      <c r="A12" s="2">
        <v>45972</v>
      </c>
      <c r="B12" s="38" t="s">
        <v>43</v>
      </c>
      <c r="C12" s="35">
        <f t="shared" si="1"/>
        <v>27454</v>
      </c>
      <c r="D12" s="10">
        <v>7660</v>
      </c>
      <c r="E12" s="10">
        <v>10110</v>
      </c>
      <c r="F12" s="5" t="s">
        <v>154</v>
      </c>
      <c r="G12" s="35">
        <f t="shared" si="0"/>
        <v>25004</v>
      </c>
      <c r="H12" s="1" t="s">
        <v>8</v>
      </c>
      <c r="I12" s="22" t="s">
        <v>8</v>
      </c>
    </row>
    <row r="13" spans="1:9" ht="49" x14ac:dyDescent="0.2">
      <c r="A13" s="2">
        <v>45973</v>
      </c>
      <c r="B13" s="17" t="s">
        <v>155</v>
      </c>
      <c r="C13" s="35">
        <f t="shared" si="1"/>
        <v>25004</v>
      </c>
      <c r="D13" s="10">
        <v>12370</v>
      </c>
      <c r="E13" s="10">
        <v>11340</v>
      </c>
      <c r="F13" s="3" t="s">
        <v>156</v>
      </c>
      <c r="G13" s="35">
        <f t="shared" si="0"/>
        <v>26034</v>
      </c>
      <c r="H13" s="1" t="s">
        <v>8</v>
      </c>
      <c r="I13" s="1" t="s">
        <v>8</v>
      </c>
    </row>
    <row r="14" spans="1:9" ht="36" x14ac:dyDescent="0.2">
      <c r="A14" s="2">
        <v>45974</v>
      </c>
      <c r="B14" s="14" t="s">
        <v>149</v>
      </c>
      <c r="C14" s="35">
        <f t="shared" si="1"/>
        <v>26034</v>
      </c>
      <c r="D14" s="10">
        <v>5970</v>
      </c>
      <c r="E14" s="13">
        <v>19077</v>
      </c>
      <c r="F14" s="26" t="s">
        <v>157</v>
      </c>
      <c r="G14" s="35">
        <f t="shared" si="0"/>
        <v>12927</v>
      </c>
      <c r="H14" s="1" t="s">
        <v>8</v>
      </c>
      <c r="I14" s="1" t="s">
        <v>8</v>
      </c>
    </row>
    <row r="15" spans="1:9" ht="73" x14ac:dyDescent="0.2">
      <c r="A15" s="2">
        <v>45975</v>
      </c>
      <c r="B15" s="14" t="s">
        <v>149</v>
      </c>
      <c r="C15" s="35">
        <f t="shared" si="1"/>
        <v>12927</v>
      </c>
      <c r="D15" s="36">
        <v>4440</v>
      </c>
      <c r="E15" s="10">
        <v>13666</v>
      </c>
      <c r="F15" s="5" t="s">
        <v>158</v>
      </c>
      <c r="G15" s="35">
        <f t="shared" si="0"/>
        <v>3701</v>
      </c>
      <c r="H15" s="1" t="s">
        <v>8</v>
      </c>
      <c r="I15" s="22" t="s">
        <v>8</v>
      </c>
    </row>
    <row r="16" spans="1:9" ht="32" x14ac:dyDescent="0.2">
      <c r="A16" s="2">
        <v>45976</v>
      </c>
      <c r="B16" s="14" t="s">
        <v>155</v>
      </c>
      <c r="C16" s="35">
        <f t="shared" si="1"/>
        <v>3701</v>
      </c>
      <c r="D16" s="10">
        <v>13160</v>
      </c>
      <c r="E16" s="10">
        <v>11580</v>
      </c>
      <c r="F16" s="5" t="s">
        <v>159</v>
      </c>
      <c r="G16" s="35">
        <f t="shared" si="0"/>
        <v>5281</v>
      </c>
      <c r="H16" s="1" t="s">
        <v>8</v>
      </c>
      <c r="I16" s="22" t="s">
        <v>8</v>
      </c>
    </row>
    <row r="17" spans="1:10" ht="24" x14ac:dyDescent="0.2">
      <c r="A17" s="2">
        <v>45978</v>
      </c>
      <c r="B17" s="25" t="s">
        <v>43</v>
      </c>
      <c r="C17" s="35">
        <f t="shared" si="1"/>
        <v>5281</v>
      </c>
      <c r="D17" s="10">
        <v>9630</v>
      </c>
      <c r="E17" s="35">
        <v>4880</v>
      </c>
      <c r="F17" s="31" t="s">
        <v>160</v>
      </c>
      <c r="G17" s="35">
        <f t="shared" si="0"/>
        <v>10031</v>
      </c>
      <c r="H17" s="1" t="s">
        <v>8</v>
      </c>
      <c r="I17" s="22" t="s">
        <v>8</v>
      </c>
    </row>
    <row r="18" spans="1:10" ht="52" x14ac:dyDescent="0.2">
      <c r="A18" s="2">
        <v>45979</v>
      </c>
      <c r="B18" s="25" t="s">
        <v>43</v>
      </c>
      <c r="C18" s="35">
        <f t="shared" si="1"/>
        <v>10031</v>
      </c>
      <c r="D18" s="10">
        <v>10180</v>
      </c>
      <c r="E18" s="10">
        <v>12100</v>
      </c>
      <c r="F18" s="27" t="s">
        <v>161</v>
      </c>
      <c r="G18" s="35">
        <f t="shared" si="0"/>
        <v>8111</v>
      </c>
      <c r="H18" s="1" t="s">
        <v>8</v>
      </c>
      <c r="I18" s="22" t="s">
        <v>8</v>
      </c>
    </row>
    <row r="19" spans="1:10" s="73" customFormat="1" ht="48" x14ac:dyDescent="0.2">
      <c r="A19" s="67">
        <v>45980</v>
      </c>
      <c r="B19" s="68" t="s">
        <v>162</v>
      </c>
      <c r="C19" s="35">
        <f t="shared" si="1"/>
        <v>8111</v>
      </c>
      <c r="D19" s="112">
        <v>22250</v>
      </c>
      <c r="E19" s="69">
        <v>600</v>
      </c>
      <c r="F19" s="70" t="s">
        <v>163</v>
      </c>
      <c r="G19" s="35">
        <f t="shared" si="0"/>
        <v>29761</v>
      </c>
      <c r="H19" s="71" t="s">
        <v>8</v>
      </c>
      <c r="I19" s="72" t="s">
        <v>8</v>
      </c>
    </row>
    <row r="20" spans="1:10" ht="49" x14ac:dyDescent="0.2">
      <c r="A20" s="2">
        <v>45981</v>
      </c>
      <c r="B20" s="14" t="s">
        <v>155</v>
      </c>
      <c r="C20" s="35">
        <f t="shared" si="1"/>
        <v>29761</v>
      </c>
      <c r="D20" s="10">
        <v>13760</v>
      </c>
      <c r="E20" s="10">
        <v>16100</v>
      </c>
      <c r="F20" s="5" t="s">
        <v>165</v>
      </c>
      <c r="G20" s="35">
        <f t="shared" si="0"/>
        <v>27421</v>
      </c>
      <c r="H20" s="1" t="s">
        <v>8</v>
      </c>
      <c r="I20" s="22" t="s">
        <v>8</v>
      </c>
    </row>
    <row r="21" spans="1:10" ht="32" x14ac:dyDescent="0.2">
      <c r="A21" s="2">
        <v>45982</v>
      </c>
      <c r="B21" s="14" t="s">
        <v>155</v>
      </c>
      <c r="C21" s="35">
        <f t="shared" si="1"/>
        <v>27421</v>
      </c>
      <c r="D21" s="107">
        <v>15800</v>
      </c>
      <c r="E21" s="107">
        <v>14700</v>
      </c>
      <c r="F21" s="29" t="s">
        <v>164</v>
      </c>
      <c r="G21" s="35">
        <f t="shared" si="0"/>
        <v>28521</v>
      </c>
      <c r="H21" s="1" t="s">
        <v>8</v>
      </c>
      <c r="I21" s="22" t="s">
        <v>8</v>
      </c>
    </row>
    <row r="22" spans="1:10" ht="48" x14ac:dyDescent="0.2">
      <c r="A22" s="2">
        <v>45983</v>
      </c>
      <c r="B22" s="14" t="s">
        <v>166</v>
      </c>
      <c r="C22" s="35">
        <f t="shared" si="1"/>
        <v>28521</v>
      </c>
      <c r="D22" s="107">
        <v>52680</v>
      </c>
      <c r="E22" s="107">
        <v>52610</v>
      </c>
      <c r="F22" s="29" t="s">
        <v>167</v>
      </c>
      <c r="G22" s="35">
        <f t="shared" si="0"/>
        <v>28591</v>
      </c>
      <c r="H22" s="1" t="s">
        <v>8</v>
      </c>
      <c r="I22" s="22" t="s">
        <v>170</v>
      </c>
    </row>
    <row r="23" spans="1:10" ht="16" x14ac:dyDescent="0.2">
      <c r="A23" s="2">
        <v>45984</v>
      </c>
      <c r="B23" s="45" t="s">
        <v>168</v>
      </c>
      <c r="C23" s="113">
        <f>G22</f>
        <v>28591</v>
      </c>
      <c r="D23" s="19">
        <v>0</v>
      </c>
      <c r="E23" s="1">
        <v>0</v>
      </c>
      <c r="F23" s="31" t="s">
        <v>8</v>
      </c>
      <c r="G23" s="35">
        <f t="shared" si="0"/>
        <v>28591</v>
      </c>
      <c r="H23" s="1"/>
      <c r="I23" s="22"/>
    </row>
    <row r="24" spans="1:10" ht="32" x14ac:dyDescent="0.2">
      <c r="A24" s="2">
        <v>45985</v>
      </c>
      <c r="B24" s="14" t="s">
        <v>155</v>
      </c>
      <c r="C24" s="113">
        <f>G23</f>
        <v>28591</v>
      </c>
      <c r="D24" s="10">
        <v>20110</v>
      </c>
      <c r="E24" s="13">
        <v>7300</v>
      </c>
      <c r="F24" s="9" t="s">
        <v>169</v>
      </c>
      <c r="G24" s="35">
        <f t="shared" si="0"/>
        <v>41401</v>
      </c>
      <c r="H24" s="1" t="s">
        <v>8</v>
      </c>
      <c r="I24" s="22" t="s">
        <v>8</v>
      </c>
    </row>
    <row r="25" spans="1:10" ht="32" x14ac:dyDescent="0.2">
      <c r="A25" s="2">
        <v>45986</v>
      </c>
      <c r="B25" s="14" t="s">
        <v>155</v>
      </c>
      <c r="C25" s="113">
        <f t="shared" ref="C25:C30" si="2">G24</f>
        <v>41401</v>
      </c>
      <c r="D25" s="10">
        <v>14960</v>
      </c>
      <c r="E25" s="10">
        <v>8190</v>
      </c>
      <c r="F25" s="5" t="s">
        <v>171</v>
      </c>
      <c r="G25" s="35">
        <f t="shared" si="0"/>
        <v>48171</v>
      </c>
      <c r="H25" s="1" t="s">
        <v>8</v>
      </c>
      <c r="I25" s="22" t="s">
        <v>8</v>
      </c>
    </row>
    <row r="26" spans="1:10" ht="32" x14ac:dyDescent="0.2">
      <c r="A26" s="2">
        <v>45987</v>
      </c>
      <c r="B26" s="14" t="s">
        <v>155</v>
      </c>
      <c r="C26" s="113">
        <f t="shared" si="2"/>
        <v>48171</v>
      </c>
      <c r="D26" s="10">
        <v>21730</v>
      </c>
      <c r="E26" s="13">
        <v>11080</v>
      </c>
      <c r="F26" s="24" t="s">
        <v>172</v>
      </c>
      <c r="G26" s="35">
        <f t="shared" si="0"/>
        <v>58821</v>
      </c>
      <c r="H26" s="1" t="s">
        <v>8</v>
      </c>
      <c r="I26" s="1" t="s">
        <v>8</v>
      </c>
    </row>
    <row r="27" spans="1:10" ht="92" x14ac:dyDescent="0.2">
      <c r="A27" s="2">
        <v>45988</v>
      </c>
      <c r="B27" s="14" t="s">
        <v>155</v>
      </c>
      <c r="C27" s="113">
        <f t="shared" si="2"/>
        <v>58821</v>
      </c>
      <c r="D27" s="10">
        <v>16380</v>
      </c>
      <c r="E27" s="10">
        <v>25950</v>
      </c>
      <c r="F27" s="9" t="s">
        <v>173</v>
      </c>
      <c r="G27" s="35">
        <f t="shared" si="0"/>
        <v>49251</v>
      </c>
      <c r="H27" s="1" t="s">
        <v>8</v>
      </c>
      <c r="I27" s="1" t="s">
        <v>8</v>
      </c>
    </row>
    <row r="28" spans="1:10" ht="32" x14ac:dyDescent="0.2">
      <c r="A28" s="2">
        <v>45989</v>
      </c>
      <c r="B28" s="14" t="s">
        <v>155</v>
      </c>
      <c r="C28" s="113">
        <f t="shared" si="2"/>
        <v>49251</v>
      </c>
      <c r="D28" s="10">
        <v>13680</v>
      </c>
      <c r="E28" s="10">
        <v>1700</v>
      </c>
      <c r="F28" s="5" t="s">
        <v>174</v>
      </c>
      <c r="G28" s="35">
        <f t="shared" si="0"/>
        <v>61231</v>
      </c>
      <c r="H28" s="1" t="s">
        <v>8</v>
      </c>
      <c r="I28" s="22" t="s">
        <v>8</v>
      </c>
      <c r="J28" s="32"/>
    </row>
    <row r="29" spans="1:10" ht="61" x14ac:dyDescent="0.2">
      <c r="A29" s="2">
        <v>45990</v>
      </c>
      <c r="B29" s="14" t="s">
        <v>155</v>
      </c>
      <c r="C29" s="113">
        <f t="shared" si="2"/>
        <v>61231</v>
      </c>
      <c r="D29" s="10">
        <v>40830</v>
      </c>
      <c r="E29" s="10">
        <v>96630</v>
      </c>
      <c r="F29" s="5" t="s">
        <v>175</v>
      </c>
      <c r="G29" s="35">
        <f t="shared" si="0"/>
        <v>5431</v>
      </c>
      <c r="H29" s="1" t="s">
        <v>8</v>
      </c>
      <c r="I29" s="22" t="s">
        <v>221</v>
      </c>
    </row>
    <row r="30" spans="1:10" ht="16" x14ac:dyDescent="0.2">
      <c r="A30" s="2">
        <v>45991</v>
      </c>
      <c r="B30" s="45" t="s">
        <v>16</v>
      </c>
      <c r="C30" s="113">
        <f t="shared" si="2"/>
        <v>5431</v>
      </c>
      <c r="D30" s="1">
        <v>0</v>
      </c>
      <c r="E30" s="1">
        <v>0</v>
      </c>
      <c r="F30" s="11" t="s">
        <v>8</v>
      </c>
      <c r="G30" s="35">
        <f t="shared" si="0"/>
        <v>5431</v>
      </c>
      <c r="H30" s="1" t="s">
        <v>8</v>
      </c>
      <c r="I30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F721-FC38-42CF-BE6A-E20DB9A0D01E}">
  <dimension ref="A1:J35"/>
  <sheetViews>
    <sheetView zoomScale="85" zoomScaleNormal="85" workbookViewId="0">
      <pane ySplit="1" topLeftCell="A29" activePane="bottomLeft" state="frozen"/>
      <selection pane="bottomLeft" activeCell="A33" sqref="A33:XFD33"/>
    </sheetView>
  </sheetViews>
  <sheetFormatPr baseColWidth="10" defaultColWidth="8.83203125" defaultRowHeight="15" x14ac:dyDescent="0.2"/>
  <cols>
    <col min="1" max="1" width="9.83203125" bestFit="1" customWidth="1"/>
    <col min="2" max="2" width="14.5" style="39" customWidth="1"/>
    <col min="3" max="3" width="25.5" bestFit="1" customWidth="1"/>
    <col min="4" max="4" width="22.1640625" style="44" bestFit="1" customWidth="1"/>
    <col min="5" max="5" width="17.5" style="44" bestFit="1" customWidth="1"/>
    <col min="6" max="6" width="27.83203125" customWidth="1"/>
    <col min="7" max="7" width="25.33203125" style="12" bestFit="1" customWidth="1"/>
    <col min="8" max="8" width="22" bestFit="1" customWidth="1"/>
    <col min="9" max="9" width="36.83203125" style="23" customWidth="1"/>
    <col min="10" max="10" width="18.6640625" customWidth="1"/>
  </cols>
  <sheetData>
    <row r="1" spans="1:9" ht="25" x14ac:dyDescent="0.3">
      <c r="A1" s="6" t="s">
        <v>0</v>
      </c>
      <c r="B1" s="37" t="s">
        <v>1</v>
      </c>
      <c r="C1" s="7" t="s">
        <v>2</v>
      </c>
      <c r="D1" s="20" t="s">
        <v>3</v>
      </c>
      <c r="E1" s="20" t="s">
        <v>4</v>
      </c>
      <c r="F1" s="6" t="s">
        <v>5</v>
      </c>
      <c r="G1" s="8" t="s">
        <v>6</v>
      </c>
      <c r="H1" s="20" t="s">
        <v>61</v>
      </c>
      <c r="I1" s="7" t="s">
        <v>88</v>
      </c>
    </row>
    <row r="2" spans="1:9" ht="37" x14ac:dyDescent="0.2">
      <c r="A2" s="2">
        <v>45992</v>
      </c>
      <c r="B2" s="14" t="s">
        <v>193</v>
      </c>
      <c r="C2" s="35">
        <f>'Nov-25'!G30</f>
        <v>5431</v>
      </c>
      <c r="D2" s="36">
        <v>14150</v>
      </c>
      <c r="E2" s="43">
        <v>10600</v>
      </c>
      <c r="F2" s="5" t="s">
        <v>176</v>
      </c>
      <c r="G2" s="35">
        <f t="shared" ref="G2:G32" si="0">C2+D2-E2</f>
        <v>8981</v>
      </c>
      <c r="H2" s="1" t="s">
        <v>8</v>
      </c>
      <c r="I2" s="22" t="s">
        <v>8</v>
      </c>
    </row>
    <row r="3" spans="1:9" ht="32" x14ac:dyDescent="0.2">
      <c r="A3" s="2">
        <v>45993</v>
      </c>
      <c r="B3" s="14" t="s">
        <v>193</v>
      </c>
      <c r="C3" s="35">
        <f>G2</f>
        <v>8981</v>
      </c>
      <c r="D3" s="36">
        <v>19290</v>
      </c>
      <c r="E3" s="41">
        <v>850</v>
      </c>
      <c r="F3" s="14" t="s">
        <v>177</v>
      </c>
      <c r="G3" s="35">
        <f t="shared" si="0"/>
        <v>27421</v>
      </c>
      <c r="H3" s="1" t="s">
        <v>8</v>
      </c>
      <c r="I3" s="22" t="s">
        <v>8</v>
      </c>
    </row>
    <row r="4" spans="1:9" ht="32" x14ac:dyDescent="0.2">
      <c r="A4" s="2">
        <v>45994</v>
      </c>
      <c r="B4" s="14" t="s">
        <v>193</v>
      </c>
      <c r="C4" s="35">
        <f t="shared" ref="C4:C32" si="1">G3</f>
        <v>27421</v>
      </c>
      <c r="D4" s="36">
        <v>8630</v>
      </c>
      <c r="E4" s="36">
        <v>1300</v>
      </c>
      <c r="F4" s="5" t="s">
        <v>178</v>
      </c>
      <c r="G4" s="35">
        <f t="shared" si="0"/>
        <v>34751</v>
      </c>
      <c r="H4" s="1" t="s">
        <v>8</v>
      </c>
      <c r="I4" s="1" t="s">
        <v>8</v>
      </c>
    </row>
    <row r="5" spans="1:9" ht="63.75" customHeight="1" x14ac:dyDescent="0.2">
      <c r="A5" s="2">
        <v>45995</v>
      </c>
      <c r="B5" s="14" t="s">
        <v>193</v>
      </c>
      <c r="C5" s="35">
        <f t="shared" si="1"/>
        <v>34751</v>
      </c>
      <c r="D5" s="36">
        <v>8900</v>
      </c>
      <c r="E5" s="36">
        <v>4400</v>
      </c>
      <c r="F5" s="5" t="s">
        <v>179</v>
      </c>
      <c r="G5" s="35">
        <f t="shared" si="0"/>
        <v>39251</v>
      </c>
      <c r="H5" s="1" t="s">
        <v>8</v>
      </c>
      <c r="I5" s="22" t="s">
        <v>222</v>
      </c>
    </row>
    <row r="6" spans="1:9" ht="37" x14ac:dyDescent="0.2">
      <c r="A6" s="2">
        <v>45996</v>
      </c>
      <c r="B6" s="14" t="s">
        <v>193</v>
      </c>
      <c r="C6" s="35">
        <f t="shared" si="1"/>
        <v>39251</v>
      </c>
      <c r="D6" s="36">
        <v>11970</v>
      </c>
      <c r="E6" s="36">
        <v>10955</v>
      </c>
      <c r="F6" s="5" t="s">
        <v>180</v>
      </c>
      <c r="G6" s="35">
        <f t="shared" si="0"/>
        <v>40266</v>
      </c>
      <c r="H6" s="1" t="s">
        <v>8</v>
      </c>
      <c r="I6" s="1" t="s">
        <v>8</v>
      </c>
    </row>
    <row r="7" spans="1:9" ht="64" x14ac:dyDescent="0.2">
      <c r="A7" s="2">
        <v>45997</v>
      </c>
      <c r="B7" s="14" t="s">
        <v>193</v>
      </c>
      <c r="C7" s="35">
        <f t="shared" si="1"/>
        <v>40266</v>
      </c>
      <c r="D7" s="36">
        <v>10610</v>
      </c>
      <c r="E7" s="43">
        <v>21080</v>
      </c>
      <c r="F7" s="14" t="s">
        <v>181</v>
      </c>
      <c r="G7" s="35">
        <f t="shared" si="0"/>
        <v>29796</v>
      </c>
      <c r="H7" s="1" t="s">
        <v>8</v>
      </c>
      <c r="I7" s="22" t="s">
        <v>8</v>
      </c>
    </row>
    <row r="8" spans="1:9" ht="16" x14ac:dyDescent="0.2">
      <c r="A8" s="2">
        <v>45998</v>
      </c>
      <c r="B8" s="45" t="s">
        <v>16</v>
      </c>
      <c r="C8" s="35">
        <f t="shared" si="1"/>
        <v>29796</v>
      </c>
      <c r="D8" s="41">
        <v>0</v>
      </c>
      <c r="E8" s="41">
        <v>0</v>
      </c>
      <c r="F8" s="5"/>
      <c r="G8" s="35">
        <f t="shared" si="0"/>
        <v>29796</v>
      </c>
      <c r="H8" s="1" t="s">
        <v>8</v>
      </c>
      <c r="I8" s="40" t="s">
        <v>16</v>
      </c>
    </row>
    <row r="9" spans="1:9" ht="53" x14ac:dyDescent="0.2">
      <c r="A9" s="2">
        <v>45999</v>
      </c>
      <c r="B9" s="14" t="s">
        <v>193</v>
      </c>
      <c r="C9" s="35">
        <f t="shared" si="1"/>
        <v>29796</v>
      </c>
      <c r="D9" s="36">
        <v>14050</v>
      </c>
      <c r="E9" s="43">
        <v>11250</v>
      </c>
      <c r="F9" s="11" t="s">
        <v>182</v>
      </c>
      <c r="G9" s="35">
        <f t="shared" si="0"/>
        <v>32596</v>
      </c>
      <c r="H9" s="1" t="s">
        <v>8</v>
      </c>
      <c r="I9" s="22" t="s">
        <v>8</v>
      </c>
    </row>
    <row r="10" spans="1:9" ht="32" x14ac:dyDescent="0.2">
      <c r="A10" s="2">
        <v>46000</v>
      </c>
      <c r="B10" s="14" t="s">
        <v>193</v>
      </c>
      <c r="C10" s="35">
        <f t="shared" si="1"/>
        <v>32596</v>
      </c>
      <c r="D10" s="36">
        <v>13670</v>
      </c>
      <c r="E10" s="36">
        <v>6150</v>
      </c>
      <c r="F10" s="11" t="s">
        <v>183</v>
      </c>
      <c r="G10" s="35">
        <f t="shared" si="0"/>
        <v>40116</v>
      </c>
      <c r="H10" s="1" t="s">
        <v>8</v>
      </c>
      <c r="I10" s="22" t="s">
        <v>8</v>
      </c>
    </row>
    <row r="11" spans="1:9" ht="49" x14ac:dyDescent="0.2">
      <c r="A11" s="2">
        <v>46001</v>
      </c>
      <c r="B11" s="14" t="s">
        <v>193</v>
      </c>
      <c r="C11" s="35">
        <f t="shared" si="1"/>
        <v>40116</v>
      </c>
      <c r="D11" s="36">
        <v>11100</v>
      </c>
      <c r="E11" s="36">
        <v>14331</v>
      </c>
      <c r="F11" s="5" t="s">
        <v>184</v>
      </c>
      <c r="G11" s="35">
        <f t="shared" si="0"/>
        <v>36885</v>
      </c>
      <c r="H11" s="1" t="s">
        <v>8</v>
      </c>
      <c r="I11" s="22" t="s">
        <v>8</v>
      </c>
    </row>
    <row r="12" spans="1:9" ht="61" x14ac:dyDescent="0.2">
      <c r="A12" s="2">
        <v>46002</v>
      </c>
      <c r="B12" s="14" t="s">
        <v>193</v>
      </c>
      <c r="C12" s="35">
        <f t="shared" si="1"/>
        <v>36885</v>
      </c>
      <c r="D12" s="36">
        <v>10050</v>
      </c>
      <c r="E12" s="36">
        <v>23800</v>
      </c>
      <c r="F12" s="5" t="s">
        <v>185</v>
      </c>
      <c r="G12" s="35">
        <f t="shared" si="0"/>
        <v>23135</v>
      </c>
      <c r="H12" s="1" t="s">
        <v>8</v>
      </c>
      <c r="I12" s="22" t="s">
        <v>8</v>
      </c>
    </row>
    <row r="13" spans="1:9" ht="37" x14ac:dyDescent="0.2">
      <c r="A13" s="2">
        <v>46003</v>
      </c>
      <c r="B13" s="14" t="s">
        <v>193</v>
      </c>
      <c r="C13" s="35">
        <f t="shared" si="1"/>
        <v>23135</v>
      </c>
      <c r="D13" s="36">
        <v>10560</v>
      </c>
      <c r="E13" s="36">
        <v>5730</v>
      </c>
      <c r="F13" s="3" t="s">
        <v>186</v>
      </c>
      <c r="G13" s="35">
        <f t="shared" si="0"/>
        <v>27965</v>
      </c>
      <c r="H13" s="1" t="s">
        <v>8</v>
      </c>
      <c r="I13" s="1" t="s">
        <v>8</v>
      </c>
    </row>
    <row r="14" spans="1:9" ht="36" x14ac:dyDescent="0.2">
      <c r="A14" s="2">
        <v>46004</v>
      </c>
      <c r="B14" s="14" t="s">
        <v>193</v>
      </c>
      <c r="C14" s="35">
        <f t="shared" si="1"/>
        <v>27965</v>
      </c>
      <c r="D14" s="36">
        <v>21760</v>
      </c>
      <c r="E14" s="43">
        <v>3950</v>
      </c>
      <c r="F14" s="26" t="s">
        <v>187</v>
      </c>
      <c r="G14" s="35">
        <f t="shared" si="0"/>
        <v>45775</v>
      </c>
      <c r="H14" s="1" t="s">
        <v>8</v>
      </c>
      <c r="I14" s="1" t="s">
        <v>8</v>
      </c>
    </row>
    <row r="15" spans="1:9" ht="25.5" customHeight="1" x14ac:dyDescent="0.2">
      <c r="A15" s="2">
        <v>46005</v>
      </c>
      <c r="B15" s="45" t="s">
        <v>16</v>
      </c>
      <c r="C15" s="35">
        <f t="shared" si="1"/>
        <v>45775</v>
      </c>
      <c r="D15" s="36">
        <v>0</v>
      </c>
      <c r="E15" s="36">
        <v>2950</v>
      </c>
      <c r="F15" s="5" t="s">
        <v>188</v>
      </c>
      <c r="G15" s="35">
        <f t="shared" si="0"/>
        <v>42825</v>
      </c>
      <c r="H15" s="1" t="s">
        <v>8</v>
      </c>
      <c r="I15" s="40" t="s">
        <v>16</v>
      </c>
    </row>
    <row r="16" spans="1:9" s="73" customFormat="1" ht="37" x14ac:dyDescent="0.2">
      <c r="A16" s="67">
        <v>46006</v>
      </c>
      <c r="B16" s="68" t="s">
        <v>193</v>
      </c>
      <c r="C16" s="35">
        <f t="shared" si="1"/>
        <v>42825</v>
      </c>
      <c r="D16" s="114">
        <v>18840</v>
      </c>
      <c r="E16" s="114">
        <v>1640</v>
      </c>
      <c r="F16" s="74" t="s">
        <v>189</v>
      </c>
      <c r="G16" s="35">
        <f t="shared" si="0"/>
        <v>60025</v>
      </c>
      <c r="H16" s="71" t="s">
        <v>8</v>
      </c>
      <c r="I16" s="72" t="s">
        <v>8</v>
      </c>
    </row>
    <row r="17" spans="1:10" ht="64" x14ac:dyDescent="0.2">
      <c r="A17" s="2">
        <v>46007</v>
      </c>
      <c r="B17" s="14" t="s">
        <v>190</v>
      </c>
      <c r="C17" s="35">
        <f t="shared" si="1"/>
        <v>60025</v>
      </c>
      <c r="D17" s="36">
        <v>17460</v>
      </c>
      <c r="E17" s="115">
        <v>14600</v>
      </c>
      <c r="F17" s="31" t="s">
        <v>191</v>
      </c>
      <c r="G17" s="35">
        <f t="shared" si="0"/>
        <v>62885</v>
      </c>
      <c r="H17" s="1" t="s">
        <v>8</v>
      </c>
      <c r="I17" s="22" t="s">
        <v>8</v>
      </c>
    </row>
    <row r="18" spans="1:10" ht="78" x14ac:dyDescent="0.2">
      <c r="A18" s="2">
        <v>46008</v>
      </c>
      <c r="B18" s="14" t="s">
        <v>190</v>
      </c>
      <c r="C18" s="35">
        <f t="shared" si="1"/>
        <v>62885</v>
      </c>
      <c r="D18" s="36">
        <v>16430</v>
      </c>
      <c r="E18" s="36">
        <v>22421</v>
      </c>
      <c r="F18" s="27" t="s">
        <v>192</v>
      </c>
      <c r="G18" s="35">
        <f t="shared" si="0"/>
        <v>56894</v>
      </c>
      <c r="H18" s="1" t="s">
        <v>8</v>
      </c>
      <c r="I18" s="22" t="s">
        <v>8</v>
      </c>
    </row>
    <row r="19" spans="1:10" ht="64" x14ac:dyDescent="0.2">
      <c r="A19" s="2">
        <v>46009</v>
      </c>
      <c r="B19" s="14" t="s">
        <v>190</v>
      </c>
      <c r="C19" s="35">
        <f t="shared" si="1"/>
        <v>56894</v>
      </c>
      <c r="D19" s="116">
        <v>14580</v>
      </c>
      <c r="E19" s="116">
        <v>16850</v>
      </c>
      <c r="F19" s="28" t="s">
        <v>194</v>
      </c>
      <c r="G19" s="35">
        <f t="shared" si="0"/>
        <v>54624</v>
      </c>
      <c r="H19" s="1" t="s">
        <v>8</v>
      </c>
      <c r="I19" s="22" t="s">
        <v>8</v>
      </c>
    </row>
    <row r="20" spans="1:10" ht="48" x14ac:dyDescent="0.2">
      <c r="A20" s="2">
        <v>46010</v>
      </c>
      <c r="B20" s="14" t="s">
        <v>195</v>
      </c>
      <c r="C20" s="35">
        <f t="shared" si="1"/>
        <v>54624</v>
      </c>
      <c r="D20" s="36">
        <v>8290</v>
      </c>
      <c r="E20" s="36">
        <v>19032</v>
      </c>
      <c r="F20" s="5" t="s">
        <v>196</v>
      </c>
      <c r="G20" s="35">
        <f t="shared" si="0"/>
        <v>43882</v>
      </c>
      <c r="H20" s="1" t="s">
        <v>8</v>
      </c>
      <c r="I20" s="22" t="s">
        <v>8</v>
      </c>
    </row>
    <row r="21" spans="1:10" ht="80" x14ac:dyDescent="0.2">
      <c r="A21" s="2">
        <v>46011</v>
      </c>
      <c r="B21" s="14" t="s">
        <v>197</v>
      </c>
      <c r="C21" s="35">
        <f t="shared" si="1"/>
        <v>43882</v>
      </c>
      <c r="D21" s="117">
        <v>22605</v>
      </c>
      <c r="E21" s="117">
        <v>18840</v>
      </c>
      <c r="F21" s="29" t="s">
        <v>198</v>
      </c>
      <c r="G21" s="35">
        <f t="shared" si="0"/>
        <v>47647</v>
      </c>
      <c r="H21" s="1" t="s">
        <v>8</v>
      </c>
      <c r="I21" s="22" t="s">
        <v>8</v>
      </c>
    </row>
    <row r="22" spans="1:10" ht="37" x14ac:dyDescent="0.2">
      <c r="A22" s="2">
        <v>46012</v>
      </c>
      <c r="B22" s="118" t="s">
        <v>16</v>
      </c>
      <c r="C22" s="35">
        <f t="shared" si="1"/>
        <v>47647</v>
      </c>
      <c r="D22" s="42">
        <v>0</v>
      </c>
      <c r="E22" s="117">
        <v>14750</v>
      </c>
      <c r="F22" s="29" t="s">
        <v>199</v>
      </c>
      <c r="G22" s="35">
        <f t="shared" si="0"/>
        <v>32897</v>
      </c>
      <c r="H22" s="1" t="s">
        <v>8</v>
      </c>
      <c r="I22" s="22" t="s">
        <v>8</v>
      </c>
    </row>
    <row r="23" spans="1:10" ht="64" x14ac:dyDescent="0.2">
      <c r="A23" s="2">
        <v>46013</v>
      </c>
      <c r="B23" s="14" t="s">
        <v>190</v>
      </c>
      <c r="C23" s="35">
        <f t="shared" si="1"/>
        <v>32897</v>
      </c>
      <c r="D23" s="117">
        <v>15660</v>
      </c>
      <c r="E23" s="36">
        <v>25000</v>
      </c>
      <c r="F23" s="31" t="s">
        <v>200</v>
      </c>
      <c r="G23" s="35">
        <f t="shared" si="0"/>
        <v>23557</v>
      </c>
      <c r="H23" s="1" t="s">
        <v>8</v>
      </c>
      <c r="I23" s="22" t="s">
        <v>8</v>
      </c>
    </row>
    <row r="24" spans="1:10" ht="64" x14ac:dyDescent="0.2">
      <c r="A24" s="2">
        <v>46014</v>
      </c>
      <c r="B24" s="14" t="s">
        <v>190</v>
      </c>
      <c r="C24" s="35">
        <f t="shared" si="1"/>
        <v>23557</v>
      </c>
      <c r="D24" s="36">
        <v>16960</v>
      </c>
      <c r="E24" s="43">
        <v>5200</v>
      </c>
      <c r="F24" s="9" t="s">
        <v>201</v>
      </c>
      <c r="G24" s="35">
        <f t="shared" si="0"/>
        <v>35317</v>
      </c>
      <c r="H24" s="1" t="s">
        <v>8</v>
      </c>
      <c r="I24" s="22" t="s">
        <v>8</v>
      </c>
    </row>
    <row r="25" spans="1:10" ht="64" x14ac:dyDescent="0.2">
      <c r="A25" s="2">
        <v>46015</v>
      </c>
      <c r="B25" s="14" t="s">
        <v>190</v>
      </c>
      <c r="C25" s="35">
        <f t="shared" si="1"/>
        <v>35317</v>
      </c>
      <c r="D25" s="36">
        <v>19410</v>
      </c>
      <c r="E25" s="36">
        <v>20800</v>
      </c>
      <c r="F25" s="5" t="s">
        <v>202</v>
      </c>
      <c r="G25" s="35">
        <f t="shared" si="0"/>
        <v>33927</v>
      </c>
      <c r="H25" s="1" t="s">
        <v>8</v>
      </c>
      <c r="I25" s="22" t="s">
        <v>8</v>
      </c>
    </row>
    <row r="26" spans="1:10" ht="64" x14ac:dyDescent="0.2">
      <c r="A26" s="2">
        <v>46016</v>
      </c>
      <c r="B26" s="14" t="s">
        <v>190</v>
      </c>
      <c r="C26" s="35">
        <f t="shared" si="1"/>
        <v>33927</v>
      </c>
      <c r="D26" s="36">
        <v>15990</v>
      </c>
      <c r="E26" s="43">
        <v>19770</v>
      </c>
      <c r="F26" s="24" t="s">
        <v>203</v>
      </c>
      <c r="G26" s="35">
        <f t="shared" si="0"/>
        <v>30147</v>
      </c>
      <c r="H26" s="1" t="s">
        <v>8</v>
      </c>
      <c r="I26" s="22" t="s">
        <v>8</v>
      </c>
    </row>
    <row r="27" spans="1:10" ht="80" x14ac:dyDescent="0.2">
      <c r="A27" s="2">
        <v>46017</v>
      </c>
      <c r="B27" s="14" t="s">
        <v>197</v>
      </c>
      <c r="C27" s="35">
        <f t="shared" si="1"/>
        <v>30147</v>
      </c>
      <c r="D27" s="36">
        <v>28830</v>
      </c>
      <c r="E27" s="36">
        <v>6000</v>
      </c>
      <c r="F27" s="14" t="s">
        <v>204</v>
      </c>
      <c r="G27" s="35">
        <f t="shared" si="0"/>
        <v>52977</v>
      </c>
      <c r="H27" s="1" t="s">
        <v>8</v>
      </c>
      <c r="I27" s="22" t="s">
        <v>8</v>
      </c>
    </row>
    <row r="28" spans="1:10" ht="64" x14ac:dyDescent="0.2">
      <c r="A28" s="2">
        <v>46018</v>
      </c>
      <c r="B28" s="14" t="s">
        <v>205</v>
      </c>
      <c r="C28" s="35">
        <f>G27</f>
        <v>52977</v>
      </c>
      <c r="D28" s="36">
        <v>17680</v>
      </c>
      <c r="E28" s="36">
        <v>42000</v>
      </c>
      <c r="F28" s="5" t="s">
        <v>206</v>
      </c>
      <c r="G28" s="35">
        <f t="shared" si="0"/>
        <v>28657</v>
      </c>
      <c r="H28" s="1" t="s">
        <v>8</v>
      </c>
      <c r="I28" s="22" t="s">
        <v>223</v>
      </c>
      <c r="J28" s="32"/>
    </row>
    <row r="29" spans="1:10" ht="16" x14ac:dyDescent="0.2">
      <c r="A29" s="30">
        <v>46019</v>
      </c>
      <c r="B29" s="45" t="s">
        <v>168</v>
      </c>
      <c r="C29" s="35">
        <f t="shared" si="1"/>
        <v>28657</v>
      </c>
      <c r="D29" s="41">
        <v>0</v>
      </c>
      <c r="E29" s="41">
        <v>0</v>
      </c>
      <c r="F29" s="5"/>
      <c r="G29" s="35">
        <f t="shared" si="0"/>
        <v>28657</v>
      </c>
      <c r="H29" s="1" t="s">
        <v>8</v>
      </c>
      <c r="I29" s="22" t="s">
        <v>8</v>
      </c>
    </row>
    <row r="30" spans="1:10" ht="99.75" customHeight="1" x14ac:dyDescent="0.2">
      <c r="A30" s="2">
        <v>46020</v>
      </c>
      <c r="B30" s="14" t="s">
        <v>205</v>
      </c>
      <c r="C30" s="35">
        <f t="shared" si="1"/>
        <v>28657</v>
      </c>
      <c r="D30" s="36">
        <v>17850</v>
      </c>
      <c r="E30" s="36">
        <v>15050</v>
      </c>
      <c r="F30" s="11" t="s">
        <v>209</v>
      </c>
      <c r="G30" s="35">
        <f t="shared" si="0"/>
        <v>31457</v>
      </c>
      <c r="H30" s="1" t="s">
        <v>8</v>
      </c>
      <c r="I30" s="22" t="s">
        <v>8</v>
      </c>
    </row>
    <row r="31" spans="1:10" ht="48" x14ac:dyDescent="0.2">
      <c r="A31" s="2">
        <v>46021</v>
      </c>
      <c r="B31" s="14" t="s">
        <v>207</v>
      </c>
      <c r="C31" s="35">
        <f t="shared" si="1"/>
        <v>31457</v>
      </c>
      <c r="D31" s="36">
        <v>19120</v>
      </c>
      <c r="E31" s="36">
        <v>6800</v>
      </c>
      <c r="F31" s="14" t="s">
        <v>208</v>
      </c>
      <c r="G31" s="35">
        <f t="shared" si="0"/>
        <v>43777</v>
      </c>
      <c r="H31" s="1" t="s">
        <v>8</v>
      </c>
      <c r="I31" s="22" t="s">
        <v>8</v>
      </c>
    </row>
    <row r="32" spans="1:10" ht="64" x14ac:dyDescent="0.2">
      <c r="A32" s="2">
        <v>46022</v>
      </c>
      <c r="B32" s="14" t="s">
        <v>205</v>
      </c>
      <c r="C32" s="35">
        <f t="shared" si="1"/>
        <v>43777</v>
      </c>
      <c r="D32" s="36">
        <v>19140</v>
      </c>
      <c r="E32" s="36">
        <v>17700</v>
      </c>
      <c r="F32" s="5" t="s">
        <v>210</v>
      </c>
      <c r="G32" s="35">
        <f t="shared" si="0"/>
        <v>45217</v>
      </c>
      <c r="H32" s="1" t="s">
        <v>8</v>
      </c>
      <c r="I32" s="22" t="s">
        <v>8</v>
      </c>
    </row>
    <row r="35" spans="3:3" x14ac:dyDescent="0.2">
      <c r="C3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407D-3FA6-4313-8422-2C5357ED5B4A}">
  <dimension ref="A1:H9"/>
  <sheetViews>
    <sheetView zoomScale="70" zoomScaleNormal="70" workbookViewId="0">
      <pane ySplit="1" topLeftCell="A5" activePane="bottomLeft" state="frozen"/>
      <selection pane="bottomLeft" activeCell="D24" sqref="D24"/>
    </sheetView>
  </sheetViews>
  <sheetFormatPr baseColWidth="10" defaultColWidth="9.1640625" defaultRowHeight="29" x14ac:dyDescent="0.2"/>
  <cols>
    <col min="1" max="1" width="11.83203125" style="55" customWidth="1"/>
    <col min="2" max="2" width="14.5" style="48" customWidth="1"/>
    <col min="3" max="3" width="25.5" style="54" bestFit="1" customWidth="1"/>
    <col min="4" max="4" width="22.1640625" style="54" bestFit="1" customWidth="1"/>
    <col min="5" max="5" width="17.5" style="54" bestFit="1" customWidth="1"/>
    <col min="6" max="6" width="38.1640625" style="83" customWidth="1"/>
    <col min="7" max="7" width="25.33203125" style="58" bestFit="1" customWidth="1"/>
    <col min="8" max="8" width="46.83203125" style="61" customWidth="1"/>
    <col min="9" max="9" width="18.6640625" style="55" customWidth="1"/>
    <col min="10" max="16384" width="9.1640625" style="55"/>
  </cols>
  <sheetData>
    <row r="1" spans="1:8" ht="25" x14ac:dyDescent="0.2">
      <c r="A1" s="50" t="s">
        <v>0</v>
      </c>
      <c r="B1" s="46" t="s">
        <v>1</v>
      </c>
      <c r="C1" s="49" t="s">
        <v>2</v>
      </c>
      <c r="D1" s="49" t="s">
        <v>3</v>
      </c>
      <c r="E1" s="49" t="s">
        <v>4</v>
      </c>
      <c r="F1" s="82" t="s">
        <v>5</v>
      </c>
      <c r="G1" s="50" t="s">
        <v>6</v>
      </c>
      <c r="H1" s="50" t="s">
        <v>88</v>
      </c>
    </row>
    <row r="2" spans="1:8" ht="67.5" customHeight="1" x14ac:dyDescent="0.2">
      <c r="A2" s="56">
        <v>46023</v>
      </c>
      <c r="B2" s="47" t="s">
        <v>207</v>
      </c>
      <c r="C2" s="51">
        <f>'Dec-25'!G32</f>
        <v>45217</v>
      </c>
      <c r="D2" s="51">
        <v>12090</v>
      </c>
      <c r="E2" s="51">
        <v>6240</v>
      </c>
      <c r="F2" s="57" t="s">
        <v>211</v>
      </c>
      <c r="G2" s="35">
        <f t="shared" ref="G2" si="0">C2+D2-E2</f>
        <v>51067</v>
      </c>
      <c r="H2" s="59" t="s">
        <v>8</v>
      </c>
    </row>
    <row r="3" spans="1:8" ht="64" x14ac:dyDescent="0.2">
      <c r="A3" s="56">
        <v>46024</v>
      </c>
      <c r="B3" s="14" t="s">
        <v>212</v>
      </c>
      <c r="C3" s="51">
        <f>G2</f>
        <v>51067</v>
      </c>
      <c r="D3" s="51">
        <v>13050</v>
      </c>
      <c r="E3" s="51">
        <v>10700</v>
      </c>
      <c r="F3" s="57" t="s">
        <v>213</v>
      </c>
      <c r="G3" s="35">
        <f t="shared" ref="G3:G9" si="1">C3+D3-E3</f>
        <v>53417</v>
      </c>
      <c r="H3" s="59" t="s">
        <v>8</v>
      </c>
    </row>
    <row r="4" spans="1:8" ht="78" customHeight="1" x14ac:dyDescent="0.2">
      <c r="A4" s="56">
        <v>46025</v>
      </c>
      <c r="B4" s="14" t="s">
        <v>212</v>
      </c>
      <c r="C4" s="51">
        <f t="shared" ref="C4:C9" si="2">G3</f>
        <v>53417</v>
      </c>
      <c r="D4" s="51">
        <v>21370</v>
      </c>
      <c r="E4" s="51">
        <v>21770</v>
      </c>
      <c r="F4" s="57" t="s">
        <v>214</v>
      </c>
      <c r="G4" s="35">
        <f t="shared" si="1"/>
        <v>53017</v>
      </c>
      <c r="H4" s="60" t="s">
        <v>8</v>
      </c>
    </row>
    <row r="5" spans="1:8" ht="24" x14ac:dyDescent="0.2">
      <c r="A5" s="56">
        <v>46026</v>
      </c>
      <c r="B5" s="62" t="s">
        <v>16</v>
      </c>
      <c r="C5" s="51">
        <f t="shared" si="2"/>
        <v>53017</v>
      </c>
      <c r="D5" s="52">
        <v>0</v>
      </c>
      <c r="E5" s="52">
        <v>0</v>
      </c>
      <c r="F5" s="57" t="s">
        <v>224</v>
      </c>
      <c r="G5" s="35">
        <f t="shared" si="1"/>
        <v>53017</v>
      </c>
      <c r="H5" s="60" t="s">
        <v>8</v>
      </c>
    </row>
    <row r="6" spans="1:8" ht="82.5" customHeight="1" x14ac:dyDescent="0.2">
      <c r="A6" s="56">
        <v>46027</v>
      </c>
      <c r="B6" s="14" t="s">
        <v>190</v>
      </c>
      <c r="C6" s="51">
        <f t="shared" si="2"/>
        <v>53017</v>
      </c>
      <c r="D6" s="51">
        <v>16630</v>
      </c>
      <c r="E6" s="51">
        <v>27240</v>
      </c>
      <c r="F6" s="57" t="s">
        <v>215</v>
      </c>
      <c r="G6" s="35">
        <f t="shared" si="1"/>
        <v>42407</v>
      </c>
      <c r="H6" s="60" t="s">
        <v>8</v>
      </c>
    </row>
    <row r="7" spans="1:8" ht="75.75" customHeight="1" x14ac:dyDescent="0.2">
      <c r="A7" s="56">
        <v>46028</v>
      </c>
      <c r="B7" s="14" t="s">
        <v>190</v>
      </c>
      <c r="C7" s="51">
        <f t="shared" si="2"/>
        <v>42407</v>
      </c>
      <c r="D7" s="51">
        <v>16120</v>
      </c>
      <c r="E7" s="53">
        <v>13050</v>
      </c>
      <c r="F7" s="57" t="s">
        <v>216</v>
      </c>
      <c r="G7" s="35">
        <f t="shared" si="1"/>
        <v>45477</v>
      </c>
      <c r="H7" s="60" t="s">
        <v>8</v>
      </c>
    </row>
    <row r="8" spans="1:8" ht="64" x14ac:dyDescent="0.2">
      <c r="A8" s="56">
        <v>46029</v>
      </c>
      <c r="B8" s="14" t="s">
        <v>190</v>
      </c>
      <c r="C8" s="51">
        <f t="shared" si="2"/>
        <v>45477</v>
      </c>
      <c r="D8" s="51">
        <v>11840</v>
      </c>
      <c r="E8" s="51">
        <v>18700</v>
      </c>
      <c r="F8" s="57" t="s">
        <v>219</v>
      </c>
      <c r="G8" s="35">
        <f t="shared" si="1"/>
        <v>38617</v>
      </c>
      <c r="H8" s="64" t="s">
        <v>8</v>
      </c>
    </row>
    <row r="9" spans="1:8" ht="89.25" customHeight="1" x14ac:dyDescent="0.2">
      <c r="A9" s="56">
        <v>46030</v>
      </c>
      <c r="B9" s="14" t="s">
        <v>190</v>
      </c>
      <c r="C9" s="51">
        <f t="shared" si="2"/>
        <v>38617</v>
      </c>
      <c r="D9" s="51">
        <v>10345</v>
      </c>
      <c r="E9" s="53">
        <v>41435</v>
      </c>
      <c r="F9" s="57" t="s">
        <v>220</v>
      </c>
      <c r="G9" s="35">
        <f t="shared" si="1"/>
        <v>7527</v>
      </c>
      <c r="H9" s="6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July-25</vt:lpstr>
      <vt:lpstr>Aug-25</vt:lpstr>
      <vt:lpstr>Sep-25</vt:lpstr>
      <vt:lpstr>Oct-25</vt:lpstr>
      <vt:lpstr>Nov-25</vt:lpstr>
      <vt:lpstr>Dec-25</vt:lpstr>
      <vt:lpstr>Jan-26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Prasanth Dusi</cp:lastModifiedBy>
  <cp:lastPrinted>2026-01-09T11:41:41Z</cp:lastPrinted>
  <dcterms:created xsi:type="dcterms:W3CDTF">2025-06-19T15:25:01Z</dcterms:created>
  <dcterms:modified xsi:type="dcterms:W3CDTF">2026-01-11T07:37:26Z</dcterms:modified>
</cp:coreProperties>
</file>