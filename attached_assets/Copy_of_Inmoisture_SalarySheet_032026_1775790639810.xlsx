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77BD4590-316E-3146-91ED-AC79E8487F81}" xr6:coauthVersionLast="47" xr6:coauthVersionMax="47" xr10:uidLastSave="{00000000-0000-0000-0000-000000000000}"/>
  <bookViews>
    <workbookView xWindow="0" yWindow="660" windowWidth="30240" windowHeight="17440" tabRatio="601" xr2:uid="{00000000-000D-0000-FFFF-FFFF00000000}"/>
  </bookViews>
  <sheets>
    <sheet name="All Components Report" sheetId="6" r:id="rId1"/>
  </sheets>
  <definedNames>
    <definedName name="RNGDETAILS0">'All Components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8" i="6" l="1"/>
  <c r="O32" i="6"/>
  <c r="Y32" i="6"/>
  <c r="X32" i="6"/>
  <c r="W32" i="6"/>
  <c r="V32" i="6"/>
  <c r="U32" i="6"/>
  <c r="T32" i="6"/>
  <c r="S32" i="6"/>
  <c r="R32" i="6"/>
  <c r="Q32" i="6"/>
  <c r="P32" i="6"/>
  <c r="N32" i="6"/>
  <c r="M32" i="6"/>
</calcChain>
</file>

<file path=xl/sharedStrings.xml><?xml version="1.0" encoding="utf-8"?>
<sst xmlns="http://schemas.openxmlformats.org/spreadsheetml/2006/main" count="174" uniqueCount="123">
  <si>
    <t>Employee Name</t>
  </si>
  <si>
    <t>Present Days</t>
  </si>
  <si>
    <t>Pay Days</t>
  </si>
  <si>
    <t>Sl .No</t>
  </si>
  <si>
    <t>Date of Joining</t>
  </si>
  <si>
    <t>Sal. Calendar Days</t>
  </si>
  <si>
    <t>Bank Name</t>
  </si>
  <si>
    <t>Bank A/c No.</t>
  </si>
  <si>
    <t>Date of Leaving</t>
  </si>
  <si>
    <t xml:space="preserve">IFSC </t>
  </si>
  <si>
    <t>Grand Total</t>
  </si>
  <si>
    <t>Inmoisture Private Limited</t>
  </si>
  <si>
    <t/>
  </si>
  <si>
    <t>Salary Sheet Report for the month of Mar/2026</t>
  </si>
  <si>
    <t>Emp ID</t>
  </si>
  <si>
    <t>Designation</t>
  </si>
  <si>
    <t>BASIC</t>
  </si>
  <si>
    <t>HRA</t>
  </si>
  <si>
    <t>LTA</t>
  </si>
  <si>
    <t>OT1</t>
  </si>
  <si>
    <t>Total Earning</t>
  </si>
  <si>
    <t>PF</t>
  </si>
  <si>
    <t>ESI</t>
  </si>
  <si>
    <t>PT</t>
  </si>
  <si>
    <t>Total Dedn.</t>
  </si>
  <si>
    <t>Net Amount</t>
  </si>
  <si>
    <t>Derivable Total</t>
  </si>
  <si>
    <t>IM-24-1012</t>
  </si>
  <si>
    <t>NAVEEN SARIPILLI</t>
  </si>
  <si>
    <t>STATE BANK OF INDIA</t>
  </si>
  <si>
    <t>43880161919</t>
  </si>
  <si>
    <t>SBIN0002704</t>
  </si>
  <si>
    <t>Junior Technical Engineer</t>
  </si>
  <si>
    <t>IM-24-1013</t>
  </si>
  <si>
    <t>krishna Eppili</t>
  </si>
  <si>
    <t>43862788262</t>
  </si>
  <si>
    <t>IM-24-1014</t>
  </si>
  <si>
    <t>VAMSI KORIBILLI</t>
  </si>
  <si>
    <t>43875551929</t>
  </si>
  <si>
    <t>IM-25-1019</t>
  </si>
  <si>
    <t>RAMANA NAGALLA</t>
  </si>
  <si>
    <t>43880273362</t>
  </si>
  <si>
    <t>Sales Officer</t>
  </si>
  <si>
    <t>IM-25-1021</t>
  </si>
  <si>
    <t>PANKAJ KUMAR</t>
  </si>
  <si>
    <t>43880162232</t>
  </si>
  <si>
    <t>Lead Technical Engineer</t>
  </si>
  <si>
    <t>IM-25-1023</t>
  </si>
  <si>
    <t>BHAGYA SRI DADI</t>
  </si>
  <si>
    <t>43862868885</t>
  </si>
  <si>
    <t>Lab Technician</t>
  </si>
  <si>
    <t>IM-25-1026</t>
  </si>
  <si>
    <t>APPARAO KAKARA</t>
  </si>
  <si>
    <t>43931888816</t>
  </si>
  <si>
    <t>Security</t>
  </si>
  <si>
    <t>IM-25-1027</t>
  </si>
  <si>
    <t>RAVI ULLI</t>
  </si>
  <si>
    <t>43941598454</t>
  </si>
  <si>
    <t>IM-25-1030</t>
  </si>
  <si>
    <t>VENKATARAO ARIPAKA</t>
  </si>
  <si>
    <t>ANDHRA PRADESH GRAMEENA VIKAS BANK</t>
  </si>
  <si>
    <t>1024825575</t>
  </si>
  <si>
    <t>APGV0003335</t>
  </si>
  <si>
    <t>IM-25-1034</t>
  </si>
  <si>
    <t>GIDUTHURI SHYAM</t>
  </si>
  <si>
    <t>43932427081</t>
  </si>
  <si>
    <t>PLANT MANAGER</t>
  </si>
  <si>
    <t>IM-25-1037</t>
  </si>
  <si>
    <t>UPPADA CHANDRASEKHAR</t>
  </si>
  <si>
    <t>20306245345</t>
  </si>
  <si>
    <t>SBIN0015367</t>
  </si>
  <si>
    <t>IM-25-1039</t>
  </si>
  <si>
    <t>PILLA TARAK RAMA RAO</t>
  </si>
  <si>
    <t>CENTRAL BANK OF INDIA</t>
  </si>
  <si>
    <t>3773938467</t>
  </si>
  <si>
    <t>CBIN0283466</t>
  </si>
  <si>
    <t>IM-25-1040</t>
  </si>
  <si>
    <t>Shambhu Ram Algule</t>
  </si>
  <si>
    <t>HDFC Bank</t>
  </si>
  <si>
    <t>50100367523045</t>
  </si>
  <si>
    <t>HDFC0001640</t>
  </si>
  <si>
    <t>Senior Technical Head</t>
  </si>
  <si>
    <t>IM-25-1043</t>
  </si>
  <si>
    <t>PODUGU HARI</t>
  </si>
  <si>
    <t>30722681973</t>
  </si>
  <si>
    <t>SBIN0001673</t>
  </si>
  <si>
    <t>Driver</t>
  </si>
  <si>
    <t>IM-25-1047</t>
  </si>
  <si>
    <t>G RAMBABU</t>
  </si>
  <si>
    <t>32277180954</t>
  </si>
  <si>
    <t>KALASHI</t>
  </si>
  <si>
    <t>IM-25-1048</t>
  </si>
  <si>
    <t>K NOOKA RAJU</t>
  </si>
  <si>
    <t>31275189026</t>
  </si>
  <si>
    <t>IM-25-1049</t>
  </si>
  <si>
    <t>K.APPARAO</t>
  </si>
  <si>
    <t>34525118222</t>
  </si>
  <si>
    <t>IM-25-1051</t>
  </si>
  <si>
    <t>CH APPARAO</t>
  </si>
  <si>
    <t>34201644809</t>
  </si>
  <si>
    <t>IM-25-1052</t>
  </si>
  <si>
    <t>N RAJU</t>
  </si>
  <si>
    <t>20306245833</t>
  </si>
  <si>
    <t>IM-25-1056</t>
  </si>
  <si>
    <t>BHEEMAVARAPU APPALARAJU</t>
  </si>
  <si>
    <t>CANARA BANK</t>
  </si>
  <si>
    <t>35932210003179</t>
  </si>
  <si>
    <t>CNRB0013593</t>
  </si>
  <si>
    <t>IM-25-1057</t>
  </si>
  <si>
    <t>BODDU MANIKYAM</t>
  </si>
  <si>
    <t>35006535689</t>
  </si>
  <si>
    <t>IM-25-1058</t>
  </si>
  <si>
    <t>GUMMIDI YENKI NAIDU</t>
  </si>
  <si>
    <t>IM-25-1059</t>
  </si>
  <si>
    <t>KAREDLA SURIBABU</t>
  </si>
  <si>
    <t>IM-25-1063</t>
  </si>
  <si>
    <t>MANAPURAM SATYA v</t>
  </si>
  <si>
    <t>44152119391</t>
  </si>
  <si>
    <t>SBIN0015369</t>
  </si>
  <si>
    <t>CLUSTER HEAD</t>
  </si>
  <si>
    <t>IM-25-1064</t>
  </si>
  <si>
    <t>KVS Murthy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</si>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</sst>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/>
    <xf numFmtId="0" fontId="2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4" fillId="0" borderId="0" xfId="0" applyFont="1"/>
    <xf numFmtId="0" fontId="5" fillId="0" borderId="0" xfId="0" quotePrefix="1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2" borderId="1" xfId="0" applyFont="1" applyFill="1" applyBorder="1"/>
    <xf numFmtId="0" fontId="1" fillId="0" borderId="1" xfId="0" applyFont="1" applyBorder="1"/>
    <xf numFmtId="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showGridLines="0" showZeros="0" tabSelected="1" topLeftCell="H1" workbookViewId="0">
      <selection activeCell="X36" sqref="X36"/>
    </sheetView>
  </sheetViews>
  <sheetFormatPr baseColWidth="10" defaultColWidth="9.1640625" defaultRowHeight="15" x14ac:dyDescent="0.2"/>
  <cols>
    <col min="1" max="1" width="1.33203125" style="1" customWidth="1"/>
    <col min="2" max="2" width="0.5" style="2" customWidth="1"/>
    <col min="3" max="3" width="5" style="3" customWidth="1"/>
    <col min="4" max="4" width="10.6640625" style="1" bestFit="1" customWidth="1"/>
    <col min="5" max="5" width="21.1640625" style="1" bestFit="1" customWidth="1"/>
    <col min="6" max="6" width="14.33203125" style="1" bestFit="1" customWidth="1"/>
    <col min="7" max="7" width="13.1640625" style="1" customWidth="1"/>
    <col min="8" max="8" width="20.6640625" style="1" customWidth="1"/>
    <col min="9" max="11" width="13.1640625" style="1" customWidth="1"/>
    <col min="12" max="12" width="15.5" style="1" customWidth="1"/>
    <col min="13" max="13" width="8" style="1" bestFit="1" customWidth="1"/>
    <col min="14" max="14" width="11" style="1" bestFit="1" customWidth="1"/>
    <col min="15" max="15" width="14.5" style="1" bestFit="1" customWidth="1"/>
    <col min="16" max="17" width="10.6640625" style="1" bestFit="1" customWidth="1"/>
    <col min="18" max="19" width="9.5" style="1" bestFit="1" customWidth="1"/>
    <col min="20" max="20" width="10.6640625" style="1" bestFit="1" customWidth="1"/>
    <col min="21" max="24" width="9.5" style="1" bestFit="1" customWidth="1"/>
    <col min="25" max="25" width="10.6640625" style="1" bestFit="1" customWidth="1"/>
    <col min="26" max="16384" width="9.1640625" style="1"/>
  </cols>
  <sheetData>
    <row r="1" spans="1:25" ht="3" customHeight="1" x14ac:dyDescent="0.2"/>
    <row r="2" spans="1:25" x14ac:dyDescent="0.2">
      <c r="C2" s="4" t="s">
        <v>11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5"/>
      <c r="Q2" s="5"/>
      <c r="R2" s="5"/>
      <c r="S2" s="5"/>
      <c r="T2" s="5"/>
      <c r="U2" s="5"/>
      <c r="V2" s="7"/>
      <c r="W2" s="6"/>
      <c r="X2" s="6"/>
      <c r="Y2" s="6"/>
    </row>
    <row r="3" spans="1:25" x14ac:dyDescent="0.2">
      <c r="C3" s="8" t="s">
        <v>12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">
      <c r="C4" s="8" t="s">
        <v>12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">
      <c r="C5" s="8" t="s">
        <v>13</v>
      </c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">
      <c r="C6" s="10" t="s">
        <v>3</v>
      </c>
      <c r="D6" s="11" t="s">
        <v>14</v>
      </c>
      <c r="E6" s="12" t="s">
        <v>0</v>
      </c>
      <c r="F6" s="12" t="s">
        <v>4</v>
      </c>
      <c r="G6" s="12" t="s">
        <v>8</v>
      </c>
      <c r="H6" s="12" t="s">
        <v>6</v>
      </c>
      <c r="I6" s="12" t="s">
        <v>7</v>
      </c>
      <c r="J6" s="12" t="s">
        <v>9</v>
      </c>
      <c r="K6" s="11" t="s">
        <v>15</v>
      </c>
      <c r="L6" s="11" t="s">
        <v>5</v>
      </c>
      <c r="M6" s="12" t="s">
        <v>2</v>
      </c>
      <c r="N6" s="11" t="s">
        <v>1</v>
      </c>
      <c r="O6" s="11" t="s">
        <v>26</v>
      </c>
      <c r="P6" s="11" t="s">
        <v>16</v>
      </c>
      <c r="Q6" s="11" t="s">
        <v>17</v>
      </c>
      <c r="R6" s="11" t="s">
        <v>18</v>
      </c>
      <c r="S6" s="11" t="s">
        <v>19</v>
      </c>
      <c r="T6" s="11" t="s">
        <v>20</v>
      </c>
      <c r="U6" s="11" t="s">
        <v>21</v>
      </c>
      <c r="V6" s="11" t="s">
        <v>22</v>
      </c>
      <c r="W6" s="11" t="s">
        <v>23</v>
      </c>
      <c r="X6" s="11" t="s">
        <v>24</v>
      </c>
      <c r="Y6" s="11" t="s">
        <v>25</v>
      </c>
    </row>
    <row r="7" spans="1:25" x14ac:dyDescent="0.2">
      <c r="A7" s="1">
        <v>1</v>
      </c>
      <c r="C7" s="13">
        <v>1</v>
      </c>
      <c r="D7" s="14" t="s">
        <v>27</v>
      </c>
      <c r="E7" s="27" t="s">
        <v>28</v>
      </c>
      <c r="F7" s="16">
        <v>45614</v>
      </c>
      <c r="G7" s="16"/>
      <c r="H7" s="15" t="s">
        <v>29</v>
      </c>
      <c r="I7" s="15" t="s">
        <v>30</v>
      </c>
      <c r="J7" s="15" t="s">
        <v>31</v>
      </c>
      <c r="K7" s="15" t="s">
        <v>32</v>
      </c>
      <c r="L7" s="17">
        <v>31</v>
      </c>
      <c r="M7" s="17">
        <v>31</v>
      </c>
      <c r="N7" s="17">
        <v>31</v>
      </c>
      <c r="O7" s="18">
        <v>12000</v>
      </c>
      <c r="P7" s="18">
        <v>6000</v>
      </c>
      <c r="Q7" s="18">
        <v>4800</v>
      </c>
      <c r="R7" s="18">
        <v>1200</v>
      </c>
      <c r="S7" s="18">
        <v>774.2</v>
      </c>
      <c r="T7" s="18">
        <v>12774.2</v>
      </c>
      <c r="U7" s="18">
        <v>720</v>
      </c>
      <c r="V7" s="18">
        <v>96</v>
      </c>
      <c r="W7" s="18">
        <v>0</v>
      </c>
      <c r="X7" s="18">
        <v>816</v>
      </c>
      <c r="Y7" s="18">
        <v>11958</v>
      </c>
    </row>
    <row r="8" spans="1:25" x14ac:dyDescent="0.2">
      <c r="A8" s="1">
        <v>2</v>
      </c>
      <c r="C8" s="13">
        <v>2</v>
      </c>
      <c r="D8" s="14" t="s">
        <v>33</v>
      </c>
      <c r="E8" s="27" t="s">
        <v>34</v>
      </c>
      <c r="F8" s="16">
        <v>45616</v>
      </c>
      <c r="G8" s="16"/>
      <c r="H8" s="15" t="s">
        <v>29</v>
      </c>
      <c r="I8" s="15" t="s">
        <v>35</v>
      </c>
      <c r="J8" s="15" t="s">
        <v>31</v>
      </c>
      <c r="K8" s="15" t="s">
        <v>32</v>
      </c>
      <c r="L8" s="17">
        <v>31</v>
      </c>
      <c r="M8" s="17">
        <v>31</v>
      </c>
      <c r="N8" s="17">
        <v>31</v>
      </c>
      <c r="O8" s="18">
        <v>15000</v>
      </c>
      <c r="P8" s="18">
        <v>7500</v>
      </c>
      <c r="Q8" s="18">
        <v>6000</v>
      </c>
      <c r="R8" s="18">
        <v>1500</v>
      </c>
      <c r="S8" s="18">
        <v>0</v>
      </c>
      <c r="T8" s="18">
        <v>15000</v>
      </c>
      <c r="U8" s="18">
        <v>900</v>
      </c>
      <c r="V8" s="18">
        <v>113</v>
      </c>
      <c r="W8" s="18">
        <v>0</v>
      </c>
      <c r="X8" s="18">
        <v>1013</v>
      </c>
      <c r="Y8" s="18">
        <v>13987</v>
      </c>
    </row>
    <row r="9" spans="1:25" x14ac:dyDescent="0.2">
      <c r="A9" s="1">
        <v>3</v>
      </c>
      <c r="C9" s="13">
        <v>3</v>
      </c>
      <c r="D9" s="14" t="s">
        <v>36</v>
      </c>
      <c r="E9" s="27" t="s">
        <v>37</v>
      </c>
      <c r="F9" s="16">
        <v>45689</v>
      </c>
      <c r="G9" s="16">
        <v>46084</v>
      </c>
      <c r="H9" s="15" t="s">
        <v>29</v>
      </c>
      <c r="I9" s="15" t="s">
        <v>38</v>
      </c>
      <c r="J9" s="15" t="s">
        <v>31</v>
      </c>
      <c r="K9" s="15" t="s">
        <v>32</v>
      </c>
      <c r="L9" s="17">
        <v>31</v>
      </c>
      <c r="M9" s="17">
        <v>3</v>
      </c>
      <c r="N9" s="17">
        <v>3</v>
      </c>
      <c r="O9" s="18">
        <v>12000</v>
      </c>
      <c r="P9" s="18">
        <v>581</v>
      </c>
      <c r="Q9" s="18">
        <v>465</v>
      </c>
      <c r="R9" s="18">
        <v>116</v>
      </c>
      <c r="S9" s="18">
        <v>0</v>
      </c>
      <c r="T9" s="18">
        <v>1162</v>
      </c>
      <c r="U9" s="18">
        <v>70</v>
      </c>
      <c r="V9" s="18">
        <v>9</v>
      </c>
      <c r="W9" s="18">
        <v>0</v>
      </c>
      <c r="X9" s="18">
        <v>79</v>
      </c>
      <c r="Y9" s="18">
        <v>1083</v>
      </c>
    </row>
    <row r="10" spans="1:25" x14ac:dyDescent="0.2">
      <c r="A10" s="1">
        <v>4</v>
      </c>
      <c r="C10" s="13">
        <v>4</v>
      </c>
      <c r="D10" s="14" t="s">
        <v>39</v>
      </c>
      <c r="E10" s="27" t="s">
        <v>40</v>
      </c>
      <c r="F10" s="16">
        <v>45659</v>
      </c>
      <c r="G10" s="16"/>
      <c r="H10" s="15" t="s">
        <v>29</v>
      </c>
      <c r="I10" s="15" t="s">
        <v>41</v>
      </c>
      <c r="J10" s="15" t="s">
        <v>31</v>
      </c>
      <c r="K10" s="15" t="s">
        <v>42</v>
      </c>
      <c r="L10" s="17">
        <v>31</v>
      </c>
      <c r="M10" s="17">
        <v>31</v>
      </c>
      <c r="N10" s="17">
        <v>31</v>
      </c>
      <c r="O10" s="18">
        <v>25500</v>
      </c>
      <c r="P10" s="18">
        <v>12750</v>
      </c>
      <c r="Q10" s="18">
        <v>10200</v>
      </c>
      <c r="R10" s="18">
        <v>2550</v>
      </c>
      <c r="S10" s="18">
        <v>0</v>
      </c>
      <c r="T10" s="18">
        <v>25500</v>
      </c>
      <c r="U10" s="18">
        <v>1530</v>
      </c>
      <c r="V10" s="18">
        <v>0</v>
      </c>
      <c r="W10" s="18">
        <v>200</v>
      </c>
      <c r="X10" s="18">
        <v>1730</v>
      </c>
      <c r="Y10" s="18">
        <v>23770</v>
      </c>
    </row>
    <row r="11" spans="1:25" x14ac:dyDescent="0.2">
      <c r="A11" s="1">
        <v>5</v>
      </c>
      <c r="C11" s="13">
        <v>5</v>
      </c>
      <c r="D11" s="14" t="s">
        <v>43</v>
      </c>
      <c r="E11" s="27" t="s">
        <v>44</v>
      </c>
      <c r="F11" s="16">
        <v>45673</v>
      </c>
      <c r="G11" s="16"/>
      <c r="H11" s="15" t="s">
        <v>29</v>
      </c>
      <c r="I11" s="15" t="s">
        <v>45</v>
      </c>
      <c r="J11" s="15" t="s">
        <v>31</v>
      </c>
      <c r="K11" s="15" t="s">
        <v>46</v>
      </c>
      <c r="L11" s="17">
        <v>31</v>
      </c>
      <c r="M11" s="17">
        <v>31</v>
      </c>
      <c r="N11" s="17">
        <v>31</v>
      </c>
      <c r="O11" s="18">
        <v>35000</v>
      </c>
      <c r="P11" s="18">
        <v>17500</v>
      </c>
      <c r="Q11" s="18">
        <v>14000</v>
      </c>
      <c r="R11" s="18">
        <v>3500</v>
      </c>
      <c r="S11" s="18">
        <v>0</v>
      </c>
      <c r="T11" s="18">
        <v>35000</v>
      </c>
      <c r="U11" s="18">
        <v>1800</v>
      </c>
      <c r="V11" s="18">
        <v>0</v>
      </c>
      <c r="W11" s="18">
        <v>200</v>
      </c>
      <c r="X11" s="18">
        <v>2000</v>
      </c>
      <c r="Y11" s="18">
        <v>33000</v>
      </c>
    </row>
    <row r="12" spans="1:25" x14ac:dyDescent="0.2">
      <c r="A12" s="1">
        <v>6</v>
      </c>
      <c r="C12" s="13">
        <v>6</v>
      </c>
      <c r="D12" s="14" t="s">
        <v>47</v>
      </c>
      <c r="E12" s="27" t="s">
        <v>48</v>
      </c>
      <c r="F12" s="16">
        <v>45673</v>
      </c>
      <c r="G12" s="16"/>
      <c r="H12" s="15" t="s">
        <v>29</v>
      </c>
      <c r="I12" s="15" t="s">
        <v>49</v>
      </c>
      <c r="J12" s="15" t="s">
        <v>31</v>
      </c>
      <c r="K12" s="15" t="s">
        <v>50</v>
      </c>
      <c r="L12" s="17">
        <v>31</v>
      </c>
      <c r="M12" s="17">
        <v>31</v>
      </c>
      <c r="N12" s="17">
        <v>31</v>
      </c>
      <c r="O12" s="18">
        <v>30000</v>
      </c>
      <c r="P12" s="18">
        <v>15000</v>
      </c>
      <c r="Q12" s="18">
        <v>12000</v>
      </c>
      <c r="R12" s="18">
        <v>3000</v>
      </c>
      <c r="S12" s="18">
        <v>1935.48</v>
      </c>
      <c r="T12" s="18">
        <v>31935.48</v>
      </c>
      <c r="U12" s="18">
        <v>1800</v>
      </c>
      <c r="V12" s="18">
        <v>0</v>
      </c>
      <c r="W12" s="18">
        <v>200</v>
      </c>
      <c r="X12" s="18">
        <v>2000</v>
      </c>
      <c r="Y12" s="18">
        <v>29935</v>
      </c>
    </row>
    <row r="13" spans="1:25" x14ac:dyDescent="0.2">
      <c r="A13" s="1">
        <v>7</v>
      </c>
      <c r="C13" s="13">
        <v>7</v>
      </c>
      <c r="D13" s="14" t="s">
        <v>51</v>
      </c>
      <c r="E13" s="27" t="s">
        <v>52</v>
      </c>
      <c r="F13" s="16">
        <v>45604</v>
      </c>
      <c r="G13" s="16"/>
      <c r="H13" s="15" t="s">
        <v>29</v>
      </c>
      <c r="I13" s="15" t="s">
        <v>53</v>
      </c>
      <c r="J13" s="15" t="s">
        <v>31</v>
      </c>
      <c r="K13" s="15" t="s">
        <v>54</v>
      </c>
      <c r="L13" s="17">
        <v>31</v>
      </c>
      <c r="M13" s="17">
        <v>31</v>
      </c>
      <c r="N13" s="17">
        <v>31</v>
      </c>
      <c r="O13" s="18">
        <v>14000</v>
      </c>
      <c r="P13" s="18">
        <v>7000</v>
      </c>
      <c r="Q13" s="18">
        <v>5600</v>
      </c>
      <c r="R13" s="18">
        <v>1400</v>
      </c>
      <c r="S13" s="18">
        <v>0</v>
      </c>
      <c r="T13" s="18">
        <v>14000</v>
      </c>
      <c r="U13" s="18">
        <v>840</v>
      </c>
      <c r="V13" s="18">
        <v>105</v>
      </c>
      <c r="W13" s="18">
        <v>0</v>
      </c>
      <c r="X13" s="18">
        <v>945</v>
      </c>
      <c r="Y13" s="18">
        <v>13055</v>
      </c>
    </row>
    <row r="14" spans="1:25" x14ac:dyDescent="0.2">
      <c r="A14" s="1">
        <v>8</v>
      </c>
      <c r="C14" s="13">
        <v>8</v>
      </c>
      <c r="D14" s="14" t="s">
        <v>55</v>
      </c>
      <c r="E14" s="27" t="s">
        <v>56</v>
      </c>
      <c r="F14" s="16">
        <v>45697</v>
      </c>
      <c r="G14" s="16"/>
      <c r="H14" s="15" t="s">
        <v>29</v>
      </c>
      <c r="I14" s="15" t="s">
        <v>57</v>
      </c>
      <c r="J14" s="15" t="s">
        <v>31</v>
      </c>
      <c r="K14" s="15" t="s">
        <v>54</v>
      </c>
      <c r="L14" s="17">
        <v>31</v>
      </c>
      <c r="M14" s="17">
        <v>31</v>
      </c>
      <c r="N14" s="17">
        <v>31</v>
      </c>
      <c r="O14" s="18">
        <v>14000</v>
      </c>
      <c r="P14" s="18">
        <v>7000</v>
      </c>
      <c r="Q14" s="18">
        <v>5600</v>
      </c>
      <c r="R14" s="18">
        <v>1400</v>
      </c>
      <c r="S14" s="18">
        <v>0</v>
      </c>
      <c r="T14" s="18">
        <v>14000</v>
      </c>
      <c r="U14" s="18">
        <v>840</v>
      </c>
      <c r="V14" s="18">
        <v>105</v>
      </c>
      <c r="W14" s="18">
        <v>0</v>
      </c>
      <c r="X14" s="18">
        <v>945</v>
      </c>
      <c r="Y14" s="18">
        <v>13055</v>
      </c>
    </row>
    <row r="15" spans="1:25" x14ac:dyDescent="0.2">
      <c r="A15" s="1">
        <v>9</v>
      </c>
      <c r="C15" s="13">
        <v>9</v>
      </c>
      <c r="D15" s="14" t="s">
        <v>58</v>
      </c>
      <c r="E15" s="27" t="s">
        <v>59</v>
      </c>
      <c r="F15" s="16">
        <v>45588</v>
      </c>
      <c r="G15" s="16"/>
      <c r="H15" s="15" t="s">
        <v>60</v>
      </c>
      <c r="I15" s="15" t="s">
        <v>61</v>
      </c>
      <c r="J15" s="15" t="s">
        <v>62</v>
      </c>
      <c r="K15" s="15" t="s">
        <v>54</v>
      </c>
      <c r="L15" s="17">
        <v>31</v>
      </c>
      <c r="M15" s="17">
        <v>31</v>
      </c>
      <c r="N15" s="17">
        <v>31</v>
      </c>
      <c r="O15" s="18">
        <v>14000</v>
      </c>
      <c r="P15" s="18">
        <v>7000</v>
      </c>
      <c r="Q15" s="18">
        <v>5600</v>
      </c>
      <c r="R15" s="18">
        <v>1400</v>
      </c>
      <c r="S15" s="18">
        <v>0</v>
      </c>
      <c r="T15" s="18">
        <v>14000</v>
      </c>
      <c r="U15" s="18">
        <v>840</v>
      </c>
      <c r="V15" s="18">
        <v>105</v>
      </c>
      <c r="W15" s="18">
        <v>0</v>
      </c>
      <c r="X15" s="18">
        <v>945</v>
      </c>
      <c r="Y15" s="18">
        <v>13055</v>
      </c>
    </row>
    <row r="16" spans="1:25" x14ac:dyDescent="0.2">
      <c r="A16" s="1">
        <v>10</v>
      </c>
      <c r="C16" s="13">
        <v>10</v>
      </c>
      <c r="D16" s="14" t="s">
        <v>63</v>
      </c>
      <c r="E16" s="27" t="s">
        <v>64</v>
      </c>
      <c r="F16" s="16">
        <v>43893</v>
      </c>
      <c r="G16" s="16"/>
      <c r="H16" s="15" t="s">
        <v>29</v>
      </c>
      <c r="I16" s="15" t="s">
        <v>65</v>
      </c>
      <c r="J16" s="15" t="s">
        <v>31</v>
      </c>
      <c r="K16" s="15" t="s">
        <v>66</v>
      </c>
      <c r="L16" s="17">
        <v>31</v>
      </c>
      <c r="M16" s="17">
        <v>31</v>
      </c>
      <c r="N16" s="17">
        <v>31</v>
      </c>
      <c r="O16" s="18">
        <v>25000</v>
      </c>
      <c r="P16" s="18">
        <v>12500</v>
      </c>
      <c r="Q16" s="18">
        <v>10000</v>
      </c>
      <c r="R16" s="18">
        <v>2500</v>
      </c>
      <c r="S16" s="18">
        <v>8064.5</v>
      </c>
      <c r="T16" s="18">
        <v>33064.5</v>
      </c>
      <c r="U16" s="18">
        <v>1500</v>
      </c>
      <c r="V16" s="18">
        <v>0</v>
      </c>
      <c r="W16" s="18">
        <v>200</v>
      </c>
      <c r="X16" s="18">
        <v>1700</v>
      </c>
      <c r="Y16" s="18">
        <v>31365</v>
      </c>
    </row>
    <row r="17" spans="1:25" x14ac:dyDescent="0.2">
      <c r="A17" s="1">
        <v>11</v>
      </c>
      <c r="C17" s="13">
        <v>11</v>
      </c>
      <c r="D17" s="14" t="s">
        <v>67</v>
      </c>
      <c r="E17" s="27" t="s">
        <v>68</v>
      </c>
      <c r="F17" s="16">
        <v>45749</v>
      </c>
      <c r="G17" s="16"/>
      <c r="H17" s="15" t="s">
        <v>29</v>
      </c>
      <c r="I17" s="15" t="s">
        <v>69</v>
      </c>
      <c r="J17" s="15" t="s">
        <v>70</v>
      </c>
      <c r="K17" s="15" t="s">
        <v>32</v>
      </c>
      <c r="L17" s="17">
        <v>31</v>
      </c>
      <c r="M17" s="17">
        <v>31</v>
      </c>
      <c r="N17" s="17">
        <v>31</v>
      </c>
      <c r="O17" s="18">
        <v>10000</v>
      </c>
      <c r="P17" s="18">
        <v>5000</v>
      </c>
      <c r="Q17" s="18">
        <v>4000</v>
      </c>
      <c r="R17" s="18">
        <v>1000</v>
      </c>
      <c r="S17" s="18">
        <v>645.16</v>
      </c>
      <c r="T17" s="18">
        <v>10645.16</v>
      </c>
      <c r="U17" s="18">
        <v>600</v>
      </c>
      <c r="V17" s="18">
        <v>80</v>
      </c>
      <c r="W17" s="18">
        <v>0</v>
      </c>
      <c r="X17" s="18">
        <v>680</v>
      </c>
      <c r="Y17" s="18">
        <v>9965</v>
      </c>
    </row>
    <row r="18" spans="1:25" x14ac:dyDescent="0.2">
      <c r="A18" s="1">
        <v>12</v>
      </c>
      <c r="C18" s="13">
        <v>12</v>
      </c>
      <c r="D18" s="14" t="s">
        <v>71</v>
      </c>
      <c r="E18" s="27" t="s">
        <v>72</v>
      </c>
      <c r="F18" s="16">
        <v>45771</v>
      </c>
      <c r="G18" s="16"/>
      <c r="H18" s="15" t="s">
        <v>73</v>
      </c>
      <c r="I18" s="15" t="s">
        <v>74</v>
      </c>
      <c r="J18" s="15" t="s">
        <v>75</v>
      </c>
      <c r="K18" s="15" t="s">
        <v>42</v>
      </c>
      <c r="L18" s="17">
        <v>31</v>
      </c>
      <c r="M18" s="17">
        <v>31</v>
      </c>
      <c r="N18" s="17">
        <v>31</v>
      </c>
      <c r="O18" s="18">
        <v>24500</v>
      </c>
      <c r="P18" s="18">
        <v>12250</v>
      </c>
      <c r="Q18" s="18">
        <v>9800</v>
      </c>
      <c r="R18" s="18">
        <v>2450</v>
      </c>
      <c r="S18" s="18">
        <v>0</v>
      </c>
      <c r="T18" s="18">
        <v>24500</v>
      </c>
      <c r="U18" s="18">
        <v>1470</v>
      </c>
      <c r="V18" s="18">
        <v>0</v>
      </c>
      <c r="W18" s="18">
        <v>200</v>
      </c>
      <c r="X18" s="18">
        <v>1670</v>
      </c>
      <c r="Y18" s="18">
        <v>22830</v>
      </c>
    </row>
    <row r="19" spans="1:25" x14ac:dyDescent="0.2">
      <c r="A19" s="1">
        <v>13</v>
      </c>
      <c r="C19" s="13">
        <v>13</v>
      </c>
      <c r="D19" s="14" t="s">
        <v>76</v>
      </c>
      <c r="E19" s="27" t="s">
        <v>77</v>
      </c>
      <c r="F19" s="16">
        <v>45810</v>
      </c>
      <c r="G19" s="16"/>
      <c r="H19" s="15" t="s">
        <v>78</v>
      </c>
      <c r="I19" s="15" t="s">
        <v>79</v>
      </c>
      <c r="J19" s="15" t="s">
        <v>80</v>
      </c>
      <c r="K19" s="15" t="s">
        <v>81</v>
      </c>
      <c r="L19" s="17">
        <v>31</v>
      </c>
      <c r="M19" s="17">
        <v>31</v>
      </c>
      <c r="N19" s="17">
        <v>31</v>
      </c>
      <c r="O19" s="18">
        <v>100000</v>
      </c>
      <c r="P19" s="18">
        <v>50000</v>
      </c>
      <c r="Q19" s="18">
        <v>40000</v>
      </c>
      <c r="R19" s="18">
        <v>10000</v>
      </c>
      <c r="S19" s="18">
        <v>0</v>
      </c>
      <c r="T19" s="18">
        <v>100000</v>
      </c>
      <c r="U19" s="18">
        <v>1800</v>
      </c>
      <c r="V19" s="18">
        <v>0</v>
      </c>
      <c r="W19" s="18">
        <v>200</v>
      </c>
      <c r="X19" s="18">
        <v>2000</v>
      </c>
      <c r="Y19" s="18">
        <v>98000</v>
      </c>
    </row>
    <row r="20" spans="1:25" x14ac:dyDescent="0.2">
      <c r="A20" s="1">
        <v>14</v>
      </c>
      <c r="C20" s="13">
        <v>14</v>
      </c>
      <c r="D20" s="14" t="s">
        <v>82</v>
      </c>
      <c r="E20" s="27" t="s">
        <v>83</v>
      </c>
      <c r="F20" s="16">
        <v>45841</v>
      </c>
      <c r="G20" s="16"/>
      <c r="H20" s="15" t="s">
        <v>29</v>
      </c>
      <c r="I20" s="15" t="s">
        <v>84</v>
      </c>
      <c r="J20" s="15" t="s">
        <v>85</v>
      </c>
      <c r="K20" s="15" t="s">
        <v>86</v>
      </c>
      <c r="L20" s="17">
        <v>31</v>
      </c>
      <c r="M20" s="17">
        <v>31</v>
      </c>
      <c r="N20" s="17">
        <v>31</v>
      </c>
      <c r="O20" s="18">
        <v>18000</v>
      </c>
      <c r="P20" s="18">
        <v>9000</v>
      </c>
      <c r="Q20" s="18">
        <v>7200</v>
      </c>
      <c r="R20" s="18">
        <v>1800</v>
      </c>
      <c r="S20" s="18">
        <v>0</v>
      </c>
      <c r="T20" s="18">
        <v>18000</v>
      </c>
      <c r="U20" s="18">
        <v>1080</v>
      </c>
      <c r="V20" s="18">
        <v>135</v>
      </c>
      <c r="W20" s="18">
        <v>150</v>
      </c>
      <c r="X20" s="18">
        <v>1365</v>
      </c>
      <c r="Y20" s="18">
        <v>16635</v>
      </c>
    </row>
    <row r="21" spans="1:25" x14ac:dyDescent="0.2">
      <c r="A21" s="1">
        <v>15</v>
      </c>
      <c r="C21" s="13">
        <v>15</v>
      </c>
      <c r="D21" s="14" t="s">
        <v>87</v>
      </c>
      <c r="E21" s="27" t="s">
        <v>88</v>
      </c>
      <c r="F21" s="16">
        <v>45870</v>
      </c>
      <c r="G21" s="16"/>
      <c r="H21" s="15" t="s">
        <v>29</v>
      </c>
      <c r="I21" s="15" t="s">
        <v>89</v>
      </c>
      <c r="J21" s="15" t="s">
        <v>70</v>
      </c>
      <c r="K21" s="15" t="s">
        <v>90</v>
      </c>
      <c r="L21" s="17">
        <v>31</v>
      </c>
      <c r="M21" s="17">
        <v>31</v>
      </c>
      <c r="N21" s="17">
        <v>31</v>
      </c>
      <c r="O21" s="18">
        <v>15000</v>
      </c>
      <c r="P21" s="18">
        <v>7500</v>
      </c>
      <c r="Q21" s="18">
        <v>6000</v>
      </c>
      <c r="R21" s="18">
        <v>1500</v>
      </c>
      <c r="S21" s="18">
        <v>0</v>
      </c>
      <c r="T21" s="18">
        <v>15000</v>
      </c>
      <c r="U21" s="18">
        <v>900</v>
      </c>
      <c r="V21" s="18">
        <v>113</v>
      </c>
      <c r="W21" s="18">
        <v>0</v>
      </c>
      <c r="X21" s="18">
        <v>1013</v>
      </c>
      <c r="Y21" s="18">
        <v>13987</v>
      </c>
    </row>
    <row r="22" spans="1:25" x14ac:dyDescent="0.2">
      <c r="A22" s="1">
        <v>16</v>
      </c>
      <c r="C22" s="13">
        <v>16</v>
      </c>
      <c r="D22" s="14" t="s">
        <v>91</v>
      </c>
      <c r="E22" s="27" t="s">
        <v>92</v>
      </c>
      <c r="F22" s="16">
        <v>45870</v>
      </c>
      <c r="G22" s="16"/>
      <c r="H22" s="15" t="s">
        <v>29</v>
      </c>
      <c r="I22" s="15" t="s">
        <v>93</v>
      </c>
      <c r="J22" s="15" t="s">
        <v>70</v>
      </c>
      <c r="K22" s="15" t="s">
        <v>90</v>
      </c>
      <c r="L22" s="17">
        <v>31</v>
      </c>
      <c r="M22" s="17">
        <v>31</v>
      </c>
      <c r="N22" s="17">
        <v>31</v>
      </c>
      <c r="O22" s="18">
        <v>15000</v>
      </c>
      <c r="P22" s="18">
        <v>7500</v>
      </c>
      <c r="Q22" s="18">
        <v>6000</v>
      </c>
      <c r="R22" s="18">
        <v>1500</v>
      </c>
      <c r="S22" s="18">
        <v>0</v>
      </c>
      <c r="T22" s="18">
        <v>15000</v>
      </c>
      <c r="U22" s="18">
        <v>900</v>
      </c>
      <c r="V22" s="18">
        <v>113</v>
      </c>
      <c r="W22" s="18">
        <v>0</v>
      </c>
      <c r="X22" s="18">
        <v>1013</v>
      </c>
      <c r="Y22" s="18">
        <v>13987</v>
      </c>
    </row>
    <row r="23" spans="1:25" x14ac:dyDescent="0.2">
      <c r="A23" s="1">
        <v>17</v>
      </c>
      <c r="C23" s="13">
        <v>17</v>
      </c>
      <c r="D23" s="14" t="s">
        <v>94</v>
      </c>
      <c r="E23" s="27" t="s">
        <v>95</v>
      </c>
      <c r="F23" s="16">
        <v>45870</v>
      </c>
      <c r="G23" s="16"/>
      <c r="H23" s="15" t="s">
        <v>29</v>
      </c>
      <c r="I23" s="15" t="s">
        <v>96</v>
      </c>
      <c r="J23" s="15" t="s">
        <v>70</v>
      </c>
      <c r="K23" s="15" t="s">
        <v>90</v>
      </c>
      <c r="L23" s="17">
        <v>31</v>
      </c>
      <c r="M23" s="17">
        <v>31</v>
      </c>
      <c r="N23" s="17">
        <v>31</v>
      </c>
      <c r="O23" s="18">
        <v>15000</v>
      </c>
      <c r="P23" s="18">
        <v>7500</v>
      </c>
      <c r="Q23" s="18">
        <v>6000</v>
      </c>
      <c r="R23" s="18">
        <v>1500</v>
      </c>
      <c r="S23" s="18">
        <v>0</v>
      </c>
      <c r="T23" s="18">
        <v>15000</v>
      </c>
      <c r="U23" s="18">
        <v>900</v>
      </c>
      <c r="V23" s="18">
        <v>113</v>
      </c>
      <c r="W23" s="18">
        <v>0</v>
      </c>
      <c r="X23" s="18">
        <v>1013</v>
      </c>
      <c r="Y23" s="18">
        <v>13987</v>
      </c>
    </row>
    <row r="24" spans="1:25" x14ac:dyDescent="0.2">
      <c r="A24" s="1">
        <v>18</v>
      </c>
      <c r="C24" s="13">
        <v>18</v>
      </c>
      <c r="D24" s="14" t="s">
        <v>97</v>
      </c>
      <c r="E24" s="27" t="s">
        <v>98</v>
      </c>
      <c r="F24" s="16">
        <v>45870</v>
      </c>
      <c r="G24" s="16"/>
      <c r="H24" s="15" t="s">
        <v>29</v>
      </c>
      <c r="I24" s="15" t="s">
        <v>99</v>
      </c>
      <c r="J24" s="15" t="s">
        <v>70</v>
      </c>
      <c r="K24" s="15" t="s">
        <v>90</v>
      </c>
      <c r="L24" s="17">
        <v>31</v>
      </c>
      <c r="M24" s="17">
        <v>31</v>
      </c>
      <c r="N24" s="17">
        <v>31</v>
      </c>
      <c r="O24" s="18">
        <v>15000</v>
      </c>
      <c r="P24" s="18">
        <v>7500</v>
      </c>
      <c r="Q24" s="18">
        <v>6000</v>
      </c>
      <c r="R24" s="18">
        <v>1500</v>
      </c>
      <c r="S24" s="18">
        <v>0</v>
      </c>
      <c r="T24" s="18">
        <v>15000</v>
      </c>
      <c r="U24" s="18">
        <v>900</v>
      </c>
      <c r="V24" s="18">
        <v>113</v>
      </c>
      <c r="W24" s="18">
        <v>0</v>
      </c>
      <c r="X24" s="18">
        <v>1013</v>
      </c>
      <c r="Y24" s="18">
        <v>13987</v>
      </c>
    </row>
    <row r="25" spans="1:25" x14ac:dyDescent="0.2">
      <c r="A25" s="1">
        <v>19</v>
      </c>
      <c r="C25" s="13">
        <v>19</v>
      </c>
      <c r="D25" s="14" t="s">
        <v>100</v>
      </c>
      <c r="E25" s="27" t="s">
        <v>101</v>
      </c>
      <c r="F25" s="16">
        <v>45870</v>
      </c>
      <c r="G25" s="16"/>
      <c r="H25" s="15" t="s">
        <v>29</v>
      </c>
      <c r="I25" s="15" t="s">
        <v>102</v>
      </c>
      <c r="J25" s="15" t="s">
        <v>70</v>
      </c>
      <c r="K25" s="15" t="s">
        <v>90</v>
      </c>
      <c r="L25" s="17">
        <v>31</v>
      </c>
      <c r="M25" s="17">
        <v>31</v>
      </c>
      <c r="N25" s="17">
        <v>31</v>
      </c>
      <c r="O25" s="18">
        <v>15000</v>
      </c>
      <c r="P25" s="18">
        <v>7500</v>
      </c>
      <c r="Q25" s="18">
        <v>6000</v>
      </c>
      <c r="R25" s="18">
        <v>1500</v>
      </c>
      <c r="S25" s="18">
        <v>0</v>
      </c>
      <c r="T25" s="18">
        <v>15000</v>
      </c>
      <c r="U25" s="18">
        <v>900</v>
      </c>
      <c r="V25" s="18">
        <v>113</v>
      </c>
      <c r="W25" s="18">
        <v>0</v>
      </c>
      <c r="X25" s="18">
        <v>1013</v>
      </c>
      <c r="Y25" s="18">
        <v>13987</v>
      </c>
    </row>
    <row r="26" spans="1:25" x14ac:dyDescent="0.2">
      <c r="A26" s="1">
        <v>20</v>
      </c>
      <c r="C26" s="13">
        <v>20</v>
      </c>
      <c r="D26" s="14" t="s">
        <v>103</v>
      </c>
      <c r="E26" s="27" t="s">
        <v>104</v>
      </c>
      <c r="F26" s="16">
        <v>45945</v>
      </c>
      <c r="G26" s="16"/>
      <c r="H26" s="15" t="s">
        <v>105</v>
      </c>
      <c r="I26" s="15" t="s">
        <v>106</v>
      </c>
      <c r="J26" s="15" t="s">
        <v>107</v>
      </c>
      <c r="K26" s="15"/>
      <c r="L26" s="17">
        <v>31</v>
      </c>
      <c r="M26" s="17">
        <v>31</v>
      </c>
      <c r="N26" s="17">
        <v>31</v>
      </c>
      <c r="O26" s="18">
        <v>15000</v>
      </c>
      <c r="P26" s="18">
        <v>7500</v>
      </c>
      <c r="Q26" s="18">
        <v>6000</v>
      </c>
      <c r="R26" s="18">
        <v>1500</v>
      </c>
      <c r="S26" s="18">
        <v>0</v>
      </c>
      <c r="T26" s="18">
        <v>15000</v>
      </c>
      <c r="U26" s="18">
        <v>900</v>
      </c>
      <c r="V26" s="18">
        <v>113</v>
      </c>
      <c r="W26" s="18">
        <v>0</v>
      </c>
      <c r="X26" s="18">
        <v>1013</v>
      </c>
      <c r="Y26" s="18">
        <v>13987</v>
      </c>
    </row>
    <row r="27" spans="1:25" x14ac:dyDescent="0.2">
      <c r="A27" s="1">
        <v>21</v>
      </c>
      <c r="C27" s="13">
        <v>21</v>
      </c>
      <c r="D27" s="14" t="s">
        <v>108</v>
      </c>
      <c r="E27" s="27" t="s">
        <v>109</v>
      </c>
      <c r="F27" s="16">
        <v>45943</v>
      </c>
      <c r="G27" s="16"/>
      <c r="H27" s="15" t="s">
        <v>29</v>
      </c>
      <c r="I27" s="15" t="s">
        <v>110</v>
      </c>
      <c r="J27" s="15" t="s">
        <v>70</v>
      </c>
      <c r="K27" s="15" t="s">
        <v>90</v>
      </c>
      <c r="L27" s="17">
        <v>31</v>
      </c>
      <c r="M27" s="17">
        <v>31</v>
      </c>
      <c r="N27" s="17">
        <v>31</v>
      </c>
      <c r="O27" s="18">
        <v>15000</v>
      </c>
      <c r="P27" s="18">
        <v>7500</v>
      </c>
      <c r="Q27" s="18">
        <v>6000</v>
      </c>
      <c r="R27" s="18">
        <v>1500</v>
      </c>
      <c r="S27" s="18">
        <v>0</v>
      </c>
      <c r="T27" s="18">
        <v>15000</v>
      </c>
      <c r="U27" s="18">
        <v>900</v>
      </c>
      <c r="V27" s="18">
        <v>113</v>
      </c>
      <c r="W27" s="18">
        <v>0</v>
      </c>
      <c r="X27" s="18">
        <v>1013</v>
      </c>
      <c r="Y27" s="18">
        <v>13987</v>
      </c>
    </row>
    <row r="28" spans="1:25" x14ac:dyDescent="0.2">
      <c r="A28" s="1">
        <v>22</v>
      </c>
      <c r="C28" s="13">
        <v>22</v>
      </c>
      <c r="D28" s="14" t="s">
        <v>111</v>
      </c>
      <c r="E28" s="27" t="s">
        <v>112</v>
      </c>
      <c r="F28" s="16">
        <v>45952</v>
      </c>
      <c r="G28" s="16"/>
      <c r="H28" s="26"/>
      <c r="I28" s="26" t="s">
        <v>12</v>
      </c>
      <c r="J28" s="26" t="s">
        <v>12</v>
      </c>
      <c r="K28" s="15" t="s">
        <v>90</v>
      </c>
      <c r="L28" s="17">
        <v>31</v>
      </c>
      <c r="M28" s="17">
        <v>31</v>
      </c>
      <c r="N28" s="17">
        <v>31</v>
      </c>
      <c r="O28" s="18">
        <v>15000</v>
      </c>
      <c r="P28" s="18">
        <v>7500</v>
      </c>
      <c r="Q28" s="18">
        <v>6000</v>
      </c>
      <c r="R28" s="18">
        <v>1500</v>
      </c>
      <c r="S28" s="18">
        <v>0</v>
      </c>
      <c r="T28" s="18">
        <v>15000</v>
      </c>
      <c r="U28" s="18">
        <v>900</v>
      </c>
      <c r="V28" s="18">
        <v>113</v>
      </c>
      <c r="W28" s="18">
        <v>0</v>
      </c>
      <c r="X28" s="18">
        <v>1013</v>
      </c>
      <c r="Y28" s="18">
        <v>13987</v>
      </c>
    </row>
    <row r="29" spans="1:25" x14ac:dyDescent="0.2">
      <c r="A29" s="1">
        <v>23</v>
      </c>
      <c r="C29" s="13">
        <v>23</v>
      </c>
      <c r="D29" s="14" t="s">
        <v>113</v>
      </c>
      <c r="E29" s="27" t="s">
        <v>114</v>
      </c>
      <c r="F29" s="16">
        <v>45962</v>
      </c>
      <c r="G29" s="16"/>
      <c r="H29" s="26"/>
      <c r="I29" s="26" t="s">
        <v>12</v>
      </c>
      <c r="J29" s="26" t="s">
        <v>12</v>
      </c>
      <c r="K29" s="15" t="s">
        <v>90</v>
      </c>
      <c r="L29" s="17">
        <v>31</v>
      </c>
      <c r="M29" s="17">
        <v>31</v>
      </c>
      <c r="N29" s="17">
        <v>31</v>
      </c>
      <c r="O29" s="18">
        <v>15000</v>
      </c>
      <c r="P29" s="18">
        <v>7500</v>
      </c>
      <c r="Q29" s="18">
        <v>6000</v>
      </c>
      <c r="R29" s="18">
        <v>1500</v>
      </c>
      <c r="S29" s="18">
        <v>0</v>
      </c>
      <c r="T29" s="18">
        <v>15000</v>
      </c>
      <c r="U29" s="18">
        <v>900</v>
      </c>
      <c r="V29" s="18">
        <v>113</v>
      </c>
      <c r="W29" s="18">
        <v>0</v>
      </c>
      <c r="X29" s="18">
        <v>1013</v>
      </c>
      <c r="Y29" s="18">
        <v>13987</v>
      </c>
    </row>
    <row r="30" spans="1:25" x14ac:dyDescent="0.2">
      <c r="A30" s="1">
        <v>24</v>
      </c>
      <c r="C30" s="13">
        <v>24</v>
      </c>
      <c r="D30" s="14" t="s">
        <v>115</v>
      </c>
      <c r="E30" s="27" t="s">
        <v>116</v>
      </c>
      <c r="F30" s="16">
        <v>46025</v>
      </c>
      <c r="G30" s="16"/>
      <c r="H30" s="15" t="s">
        <v>29</v>
      </c>
      <c r="I30" s="15" t="s">
        <v>117</v>
      </c>
      <c r="J30" s="15" t="s">
        <v>118</v>
      </c>
      <c r="K30" s="15" t="s">
        <v>119</v>
      </c>
      <c r="L30" s="17">
        <v>31</v>
      </c>
      <c r="M30" s="17">
        <v>31</v>
      </c>
      <c r="N30" s="17">
        <v>31</v>
      </c>
      <c r="O30" s="18">
        <v>12000</v>
      </c>
      <c r="P30" s="18">
        <v>6000</v>
      </c>
      <c r="Q30" s="18">
        <v>4800</v>
      </c>
      <c r="R30" s="18">
        <v>1200</v>
      </c>
      <c r="S30" s="18">
        <v>2322.6</v>
      </c>
      <c r="T30" s="18">
        <v>14322.6</v>
      </c>
      <c r="U30" s="18">
        <v>0</v>
      </c>
      <c r="V30" s="18">
        <v>0</v>
      </c>
      <c r="W30" s="18">
        <v>0</v>
      </c>
      <c r="X30" s="18">
        <v>0</v>
      </c>
      <c r="Y30" s="18">
        <v>14323</v>
      </c>
    </row>
    <row r="31" spans="1:25" x14ac:dyDescent="0.2">
      <c r="A31" s="1">
        <v>25</v>
      </c>
      <c r="C31" s="13">
        <v>25</v>
      </c>
      <c r="D31" s="14" t="s">
        <v>120</v>
      </c>
      <c r="E31" s="27" t="s">
        <v>121</v>
      </c>
      <c r="F31" s="16">
        <v>46090</v>
      </c>
      <c r="G31" s="16"/>
      <c r="H31" s="26"/>
      <c r="I31" s="26" t="s">
        <v>12</v>
      </c>
      <c r="J31" s="26" t="s">
        <v>12</v>
      </c>
      <c r="K31" s="15" t="s">
        <v>122</v>
      </c>
      <c r="L31" s="17">
        <v>31</v>
      </c>
      <c r="M31" s="17">
        <v>23</v>
      </c>
      <c r="N31" s="17">
        <v>23</v>
      </c>
      <c r="O31" s="18">
        <v>65150</v>
      </c>
      <c r="P31" s="18">
        <v>24169</v>
      </c>
      <c r="Q31" s="18">
        <v>19335</v>
      </c>
      <c r="R31" s="18">
        <v>4834</v>
      </c>
      <c r="S31" s="18">
        <v>0</v>
      </c>
      <c r="T31" s="18">
        <v>48338</v>
      </c>
      <c r="U31" s="18">
        <v>0</v>
      </c>
      <c r="V31" s="18">
        <v>0</v>
      </c>
      <c r="W31" s="18">
        <v>200</v>
      </c>
      <c r="X31" s="18">
        <v>200</v>
      </c>
      <c r="Y31" s="18">
        <v>48138</v>
      </c>
    </row>
    <row r="32" spans="1:25" s="19" customFormat="1" x14ac:dyDescent="0.2">
      <c r="B32" s="20" t="s">
        <v>10</v>
      </c>
      <c r="C32" s="21"/>
      <c r="M32" s="22">
        <f t="shared" ref="M32:Y32" si="0">SUM(M7:M31)</f>
        <v>739</v>
      </c>
      <c r="N32" s="22">
        <f t="shared" si="0"/>
        <v>739</v>
      </c>
      <c r="O32" s="23">
        <f t="shared" si="0"/>
        <v>561150</v>
      </c>
      <c r="P32" s="23">
        <f t="shared" si="0"/>
        <v>266750</v>
      </c>
      <c r="Q32" s="23">
        <f t="shared" si="0"/>
        <v>213400</v>
      </c>
      <c r="R32" s="23">
        <f t="shared" si="0"/>
        <v>53350</v>
      </c>
      <c r="S32" s="23">
        <f t="shared" si="0"/>
        <v>13741.94</v>
      </c>
      <c r="T32" s="23">
        <f t="shared" si="0"/>
        <v>547241.93999999994</v>
      </c>
      <c r="U32" s="23">
        <f t="shared" si="0"/>
        <v>23890</v>
      </c>
      <c r="V32" s="23">
        <f t="shared" si="0"/>
        <v>1765</v>
      </c>
      <c r="W32" s="23">
        <f t="shared" si="0"/>
        <v>1550</v>
      </c>
      <c r="X32" s="23">
        <f t="shared" si="0"/>
        <v>27205</v>
      </c>
      <c r="Y32" s="23">
        <f t="shared" si="0"/>
        <v>520037</v>
      </c>
    </row>
    <row r="33" spans="3:25" s="24" customFormat="1" x14ac:dyDescent="0.2">
      <c r="C33" s="3"/>
    </row>
    <row r="34" spans="3:25" s="24" customFormat="1" x14ac:dyDescent="0.2">
      <c r="C34" s="3"/>
      <c r="H34" s="3"/>
      <c r="K34" s="3"/>
      <c r="L34" s="3"/>
      <c r="N34" s="3"/>
      <c r="R34" s="3"/>
      <c r="U34" s="3"/>
      <c r="X34" s="3"/>
    </row>
    <row r="35" spans="3:25" s="24" customFormat="1" x14ac:dyDescent="0.2">
      <c r="C35" s="3"/>
    </row>
    <row r="36" spans="3:25" s="24" customFormat="1" x14ac:dyDescent="0.2">
      <c r="C36" s="3"/>
      <c r="Y36" s="28"/>
    </row>
    <row r="37" spans="3:25" s="24" customFormat="1" x14ac:dyDescent="0.2">
      <c r="C37" s="3"/>
      <c r="M37" s="25"/>
    </row>
    <row r="38" spans="3:25" s="24" customFormat="1" x14ac:dyDescent="0.2">
      <c r="C38" s="3"/>
      <c r="Y38" s="28">
        <f>SUM(Y36:Y37)</f>
        <v>0</v>
      </c>
    </row>
    <row r="39" spans="3:25" s="24" customFormat="1" x14ac:dyDescent="0.2">
      <c r="C39" s="3"/>
    </row>
    <row r="40" spans="3:25" s="24" customFormat="1" x14ac:dyDescent="0.2">
      <c r="C40" s="3"/>
    </row>
    <row r="41" spans="3:25" s="24" customFormat="1" x14ac:dyDescent="0.2">
      <c r="C41" s="3"/>
    </row>
    <row r="42" spans="3:25" s="24" customFormat="1" x14ac:dyDescent="0.2">
      <c r="C42" s="3"/>
    </row>
    <row r="43" spans="3:25" s="24" customFormat="1" x14ac:dyDescent="0.2">
      <c r="C43" s="3"/>
    </row>
    <row r="44" spans="3:25" s="24" customFormat="1" x14ac:dyDescent="0.2">
      <c r="C44" s="3"/>
    </row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Components Report</vt:lpstr>
    </vt:vector>
  </TitlesOfParts>
  <Company>Relyon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Prasanth Dusi</cp:lastModifiedBy>
  <cp:lastPrinted>2008-02-02T08:58:16Z</cp:lastPrinted>
  <dcterms:created xsi:type="dcterms:W3CDTF">2005-08-30T04:36:52Z</dcterms:created>
  <dcterms:modified xsi:type="dcterms:W3CDTF">2026-04-10T03:10:31Z</dcterms:modified>
</cp:coreProperties>
</file>