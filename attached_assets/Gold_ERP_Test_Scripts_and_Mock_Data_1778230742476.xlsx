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 + Master Data" sheetId="1" state="visible" r:id="rId1"/>
    <sheet xmlns:r="http://schemas.openxmlformats.org/officeDocument/2006/relationships" name="F1 — Production Cycle" sheetId="2" state="visible" r:id="rId2"/>
    <sheet xmlns:r="http://schemas.openxmlformats.org/officeDocument/2006/relationships" name="F2 — Retail POS + Old Gold" sheetId="3" state="visible" r:id="rId3"/>
    <sheet xmlns:r="http://schemas.openxmlformats.org/officeDocument/2006/relationships" name="F3 — Chit Scheme Lifecycle" sheetId="4" state="visible" r:id="rId4"/>
    <sheet xmlns:r="http://schemas.openxmlformats.org/officeDocument/2006/relationships" name="F4 — Wholesale Jobwork" sheetId="5" state="visible" r:id="rId5"/>
    <sheet xmlns:r="http://schemas.openxmlformats.org/officeDocument/2006/relationships" name="F5 — Bullion Rate Cut Invoice" sheetId="6" state="visible" r:id="rId6"/>
    <sheet xmlns:r="http://schemas.openxmlformats.org/officeDocument/2006/relationships" name="F6 — Physical Inventory Audit" sheetId="7" state="visible" r:id="rId7"/>
    <sheet xmlns:r="http://schemas.openxmlformats.org/officeDocument/2006/relationships" name="F7 — Karigar Settlement Math" sheetId="8" state="visible" r:id="rId8"/>
    <sheet xmlns:r="http://schemas.openxmlformats.org/officeDocument/2006/relationships" name="F8 — Metal Ledger Reconciliatio" sheetId="9" state="visible" r:id="rId9"/>
    <sheet xmlns:r="http://schemas.openxmlformats.org/officeDocument/2006/relationships" name="F9 — Hallmarking Batch" sheetId="10" state="visible" r:id="rId10"/>
    <sheet xmlns:r="http://schemas.openxmlformats.org/officeDocument/2006/relationships" name="F10 — RFID Full Cycle" sheetId="11" state="visible" r:id="rId11"/>
    <sheet xmlns:r="http://schemas.openxmlformats.org/officeDocument/2006/relationships" name="F11 — E-Catalog + OMS" sheetId="12" state="visible" r:id="rId12"/>
    <sheet xmlns:r="http://schemas.openxmlformats.org/officeDocument/2006/relationships" name="F12 — Repairs &amp; Remodeling" sheetId="13" state="visible" r:id="rId13"/>
    <sheet xmlns:r="http://schemas.openxmlformats.org/officeDocument/2006/relationships" name="F13 — Refining Process" sheetId="14" state="visible" r:id="rId14"/>
    <sheet xmlns:r="http://schemas.openxmlformats.org/officeDocument/2006/relationships" name="F14 — Multi-Stage Production" sheetId="15" state="visible" r:id="rId15"/>
    <sheet xmlns:r="http://schemas.openxmlformats.org/officeDocument/2006/relationships" name="🔲 Individual Screen Tests" sheetId="16" state="visible" r:id="rId16"/>
    <sheet xmlns:r="http://schemas.openxmlformats.org/officeDocument/2006/relationships" name="F15 — CRM Full Flow" sheetId="17" state="visible" r:id="rId17"/>
    <sheet xmlns:r="http://schemas.openxmlformats.org/officeDocument/2006/relationships" name="F16 — Multi-Branch Operations" sheetId="18" state="visible" r:id="rId18"/>
    <sheet xmlns:r="http://schemas.openxmlformats.org/officeDocument/2006/relationships" name="F17 — Vendor Purchase + Dispatc" sheetId="19" state="visible" r:id="rId19"/>
    <sheet xmlns:r="http://schemas.openxmlformats.org/officeDocument/2006/relationships" name="F18 — HRMS Karigar Payroll" sheetId="20" state="visible" r:id="rId20"/>
    <sheet xmlns:r="http://schemas.openxmlformats.org/officeDocument/2006/relationships" name="F19 — E-Commerce Journey" sheetId="21" state="visible" r:id="rId21"/>
    <sheet xmlns:r="http://schemas.openxmlformats.org/officeDocument/2006/relationships" name="F20 — Chit Online Portal" sheetId="22" state="visible" r:id="rId22"/>
    <sheet xmlns:r="http://schemas.openxmlformats.org/officeDocument/2006/relationships" name="F21 — HRMS Exit Process" sheetId="23" state="visible" r:id="rId23"/>
    <sheet xmlns:r="http://schemas.openxmlformats.org/officeDocument/2006/relationships" name="F22 — Bank Reconciliation" sheetId="24" state="visible" r:id="rId24"/>
    <sheet xmlns:r="http://schemas.openxmlformats.org/officeDocument/2006/relationships" name="F23 — CRM Dashboards" sheetId="25" state="visible" r:id="rId25"/>
    <sheet xmlns:r="http://schemas.openxmlformats.org/officeDocument/2006/relationships" name="F24 — Multi-Currency Invoice" sheetId="26" state="visible" r:id="rId26"/>
    <sheet xmlns:r="http://schemas.openxmlformats.org/officeDocument/2006/relationships" name="F25 — Admin &amp; Settings" sheetId="27" state="visible" r:id="rId27"/>
    <sheet xmlns:r="http://schemas.openxmlformats.org/officeDocument/2006/relationships" name="F26 — Standard ERP Gaps" sheetId="28" state="visible" r:id="rId28"/>
    <sheet xmlns:r="http://schemas.openxmlformats.org/officeDocument/2006/relationships" name="F27 — Security Admin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1A237E"/>
      <sz val="10"/>
    </font>
    <font>
      <name val="Arial"/>
      <color rgb="00000000"/>
      <sz val="10"/>
    </font>
    <font>
      <name val="Arial"/>
      <color rgb="00546E7A"/>
      <sz val="10"/>
    </font>
    <font>
      <name val="Arial"/>
      <b val="1"/>
      <color rgb="0037474F"/>
      <sz val="9"/>
    </font>
    <font>
      <name val="Arial"/>
      <b val="1"/>
      <color rgb="001B5E20"/>
      <sz val="9"/>
    </font>
    <font>
      <name val="Arial"/>
      <b val="1"/>
      <color rgb="000D47A1"/>
      <sz val="9"/>
    </font>
    <font>
      <name val="Arial"/>
      <b val="1"/>
      <color rgb="00E65100"/>
      <sz val="9"/>
    </font>
    <font>
      <name val="Arial"/>
      <b val="1"/>
      <color rgb="004A148C"/>
      <sz val="9"/>
    </font>
    <font>
      <name val="Arial"/>
      <b val="1"/>
      <color rgb="00004D40"/>
      <sz val="9"/>
    </font>
    <font>
      <name val="Arial"/>
      <b val="1"/>
      <color rgb="00BF360C"/>
      <sz val="9"/>
    </font>
    <font>
      <name val="Arial"/>
      <b val="1"/>
      <color rgb="00B71C1C"/>
      <sz val="9"/>
    </font>
    <font>
      <name val="Arial"/>
      <b val="1"/>
      <color rgb="00FFFFFF"/>
      <sz val="9"/>
    </font>
    <font>
      <name val="Arial"/>
      <b val="1"/>
      <color rgb="00B71C1C"/>
      <sz val="10"/>
    </font>
    <font>
      <name val="Arial"/>
      <color rgb="00263238"/>
      <sz val="9"/>
    </font>
    <font>
      <name val="Arial"/>
      <b val="1"/>
      <color rgb="00263238"/>
      <sz val="9"/>
    </font>
    <font>
      <name val="Arial"/>
      <color rgb="000D47A1"/>
      <sz val="9"/>
    </font>
    <font>
      <name val="Arial"/>
      <b val="1"/>
      <color rgb="00FFFFFF"/>
      <sz val="13"/>
    </font>
    <font>
      <name val="Arial"/>
      <b val="1"/>
      <color rgb="0037474F"/>
      <sz val="10"/>
    </font>
    <font>
      <name val="Arial"/>
      <color rgb="00263238"/>
      <sz val="10"/>
    </font>
    <font>
      <name val="Arial"/>
      <b val="1"/>
      <color rgb="001B5E20"/>
      <sz val="10"/>
    </font>
    <font>
      <name val="Arial"/>
      <color rgb="00000000"/>
      <sz val="9"/>
    </font>
    <font>
      <name val="Arial"/>
      <b val="1"/>
      <color rgb="000D47A1"/>
      <sz val="10"/>
    </font>
    <font>
      <name val="Arial"/>
      <b val="1"/>
      <color rgb="004A148C"/>
      <sz val="10"/>
    </font>
    <font>
      <name val="Arial"/>
      <b val="1"/>
      <color rgb="00E65100"/>
      <sz val="10"/>
    </font>
    <font>
      <name val="Arial"/>
      <color rgb="001B5E20"/>
      <sz val="9"/>
    </font>
    <font>
      <name val="Arial"/>
      <b val="1"/>
      <color rgb="00BF360C"/>
      <sz val="10"/>
    </font>
  </fonts>
  <fills count="2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0F2F1"/>
      </patternFill>
    </fill>
    <fill>
      <patternFill patternType="solid">
        <fgColor rgb="00F3E5F5"/>
      </patternFill>
    </fill>
    <fill>
      <patternFill patternType="solid">
        <fgColor rgb="00FFFDE7"/>
      </patternFill>
    </fill>
    <fill>
      <patternFill patternType="solid">
        <fgColor rgb="00FEEBEE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37474F"/>
      </patternFill>
    </fill>
    <fill>
      <patternFill patternType="solid">
        <fgColor rgb="00F1F8E9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BBDEFB"/>
      </patternFill>
    </fill>
  </fills>
  <borders count="6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  <border>
      <left/>
      <right/>
      <top style="thin">
        <color rgb="00C5CAE9"/>
      </top>
      <bottom/>
      <diagonal/>
    </border>
    <border>
      <left/>
      <right style="thin">
        <color rgb="00C5CAE9"/>
      </right>
      <top style="thin">
        <color rgb="00C5CAE9"/>
      </top>
      <bottom/>
      <diagonal/>
    </border>
    <border>
      <left/>
      <right/>
      <top style="thin">
        <color rgb="00C5CAE9"/>
      </top>
      <bottom style="thin">
        <color rgb="00C5CAE9"/>
      </bottom>
      <diagonal/>
    </border>
    <border>
      <left/>
      <right style="thin">
        <color rgb="00C5CAE9"/>
      </right>
      <top style="thin">
        <color rgb="00C5CAE9"/>
      </top>
      <bottom style="thin">
        <color rgb="00C5CAE9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13" borderId="0" pivotButton="0" quotePrefix="0" xfId="0"/>
    <xf numFmtId="0" fontId="15" fillId="14" borderId="0" applyAlignment="1" pivotButton="0" quotePrefix="0" xfId="0">
      <alignment horizontal="left" vertical="top" wrapText="1"/>
    </xf>
    <xf numFmtId="0" fontId="17" fillId="15" borderId="1" pivotButton="0" quotePrefix="0" xfId="0"/>
    <xf numFmtId="0" fontId="18" fillId="15" borderId="1" pivotButton="0" quotePrefix="0" xfId="0"/>
    <xf numFmtId="0" fontId="19" fillId="15" borderId="1" pivotButton="0" quotePrefix="0" xfId="0"/>
    <xf numFmtId="0" fontId="17" fillId="16" borderId="1" pivotButton="0" quotePrefix="0" xfId="0"/>
    <xf numFmtId="0" fontId="18" fillId="16" borderId="1" pivotButton="0" quotePrefix="0" xfId="0"/>
    <xf numFmtId="0" fontId="19" fillId="16" borderId="1" pivotButton="0" quotePrefix="0" xfId="0"/>
    <xf numFmtId="0" fontId="20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top" wrapText="1"/>
    </xf>
    <xf numFmtId="0" fontId="23" fillId="4" borderId="1" applyAlignment="1" pivotButton="0" quotePrefix="0" xfId="0">
      <alignment horizontal="center" vertical="center" wrapText="1"/>
    </xf>
    <xf numFmtId="0" fontId="24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 wrapText="1"/>
    </xf>
    <xf numFmtId="0" fontId="28" fillId="19" borderId="1" applyAlignment="1" pivotButton="0" quotePrefix="0" xfId="0">
      <alignment horizontal="left" vertical="top" wrapText="1"/>
    </xf>
    <xf numFmtId="0" fontId="29" fillId="8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top" wrapText="1"/>
    </xf>
    <xf numFmtId="0" fontId="6" fillId="20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  <col width="12" customWidth="1" min="4" max="4"/>
    <col width="12" customWidth="1" min="5" max="5"/>
    <col width="20" customWidth="1" min="6" max="6"/>
  </cols>
  <sheetData>
    <row r="1" ht="32" customHeight="1">
      <c r="A1" s="1" t="inlineStr">
        <is>
          <t>Gold ERP — Test Scripts &amp; Mock Data</t>
        </is>
      </c>
    </row>
    <row r="2" ht="16" customHeight="1">
      <c r="A2" s="2" t="inlineStr">
        <is>
          <t>8 end-to-end flows · Complete mock data · Step-by-step scripts with expected results</t>
        </is>
      </c>
    </row>
    <row r="3" ht="8" customHeight="1"/>
    <row r="4" ht="20" customHeight="1">
      <c r="A4" s="3" t="inlineStr">
        <is>
          <t>Flow</t>
        </is>
      </c>
      <c r="B4" s="3" t="inlineStr">
        <is>
          <t>Title</t>
        </is>
      </c>
      <c r="C4" s="3" t="inlineStr">
        <is>
          <t>Description</t>
        </is>
      </c>
      <c r="D4" s="3" t="inlineStr">
        <is>
          <t>Screens</t>
        </is>
      </c>
      <c r="E4" s="3" t="inlineStr">
        <is>
          <t>Steps</t>
        </is>
      </c>
      <c r="F4" s="3" t="inlineStr">
        <is>
          <t>Status</t>
        </is>
      </c>
    </row>
    <row r="5" ht="22" customHeight="1">
      <c r="A5" s="4" t="n">
        <v>1</v>
      </c>
      <c r="B5" s="5" t="inlineStr">
        <is>
          <t>Complete Production Cycle</t>
        </is>
      </c>
      <c r="C5" s="5" t="inlineStr">
        <is>
          <t>Karigar master → design → sketch → CAD (approval) → CAM → ghat → issue gold → receive piece → QC → finalize → settlement</t>
        </is>
      </c>
      <c r="D5" s="5" t="inlineStr">
        <is>
          <t>Production</t>
        </is>
      </c>
      <c r="E5" s="5" t="inlineStr">
        <is>
          <t>18</t>
        </is>
      </c>
      <c r="F5" s="6" t="inlineStr">
        <is>
          <t>🔲 Not started</t>
        </is>
      </c>
    </row>
    <row r="6" ht="22" customHeight="1">
      <c r="A6" s="7" t="n">
        <v>2</v>
      </c>
      <c r="B6" s="8" t="inlineStr">
        <is>
          <t>Retail POS + Old Gold Exchange</t>
        </is>
      </c>
      <c r="C6" s="8" t="inlineStr">
        <is>
          <t>Estimation at counter → customer approval → POS billing with old gold exchange + loyalty redemption</t>
        </is>
      </c>
      <c r="D6" s="8" t="inlineStr">
        <is>
          <t>Retail + POS</t>
        </is>
      </c>
      <c r="E6" s="8" t="inlineStr">
        <is>
          <t>15</t>
        </is>
      </c>
      <c r="F6" s="9" t="inlineStr">
        <is>
          <t>🔲 Not started</t>
        </is>
      </c>
    </row>
    <row r="7" ht="22" customHeight="1">
      <c r="A7" s="10" t="n">
        <v>3</v>
      </c>
      <c r="B7" s="11" t="inlineStr">
        <is>
          <t>Gold Chit Scheme Lifecycle</t>
        </is>
      </c>
      <c r="C7" s="11" t="inlineStr">
        <is>
          <t>Scheme setup → member enroll → 3 monthly collections (1 late) → defaulter flag → maturity → redemption</t>
        </is>
      </c>
      <c r="D7" s="11" t="inlineStr">
        <is>
          <t>Chit Schemes</t>
        </is>
      </c>
      <c r="E7" s="11" t="inlineStr">
        <is>
          <t>20</t>
        </is>
      </c>
      <c r="F7" s="12" t="inlineStr">
        <is>
          <t>🔲 Not started</t>
        </is>
      </c>
    </row>
    <row r="8" ht="22" customHeight="1">
      <c r="A8" s="13" t="n">
        <v>4</v>
      </c>
      <c r="B8" s="14" t="inlineStr">
        <is>
          <t>Wholesale Jobwork (Customer Gold)</t>
        </is>
      </c>
      <c r="C8" s="14" t="inlineStr">
        <is>
          <t>Customer sends own gold → record receipt → issue to karigar → receive finished pieces → invoice making charges only</t>
        </is>
      </c>
      <c r="D8" s="14" t="inlineStr">
        <is>
          <t>Wholesale</t>
        </is>
      </c>
      <c r="E8" s="14" t="inlineStr">
        <is>
          <t>13</t>
        </is>
      </c>
      <c r="F8" s="15" t="inlineStr">
        <is>
          <t>🔲 Not started</t>
        </is>
      </c>
    </row>
    <row r="9" ht="22" customHeight="1">
      <c r="A9" s="16" t="n">
        <v>5</v>
      </c>
      <c r="B9" s="17" t="inlineStr">
        <is>
          <t>Bullion Rate Cut Invoice</t>
        </is>
      </c>
      <c r="C9" s="17" t="inlineStr">
        <is>
          <t>Bullion booking → inward → rate cut invoice (2 deductions) → vault entry → vault audit</t>
        </is>
      </c>
      <c r="D9" s="17" t="inlineStr">
        <is>
          <t>Bullion</t>
        </is>
      </c>
      <c r="E9" s="17" t="inlineStr">
        <is>
          <t>11</t>
        </is>
      </c>
      <c r="F9" s="18" t="inlineStr">
        <is>
          <t>🔲 Not started</t>
        </is>
      </c>
    </row>
    <row r="10" ht="22" customHeight="1">
      <c r="A10" s="19" t="n">
        <v>6</v>
      </c>
      <c r="B10" s="20" t="inlineStr">
        <is>
          <t>Physical Inventory Audit</t>
        </is>
      </c>
      <c r="C10" s="20" t="inlineStr">
        <is>
          <t>Barcode scan all showcase items → 1 missing item → discrepancy report → investigation action</t>
        </is>
      </c>
      <c r="D10" s="20" t="inlineStr">
        <is>
          <t>Retail</t>
        </is>
      </c>
      <c r="E10" s="20" t="inlineStr">
        <is>
          <t>10</t>
        </is>
      </c>
      <c r="F10" s="21" t="inlineStr">
        <is>
          <t>🔲 Not started</t>
        </is>
      </c>
    </row>
    <row r="11" ht="22" customHeight="1">
      <c r="A11" s="22" t="n">
        <v>7</v>
      </c>
      <c r="B11" s="23" t="inlineStr">
        <is>
          <t>Karigar Settlement Math Check</t>
        </is>
      </c>
      <c r="C11" s="23" t="inlineStr">
        <is>
          <t>Verify: gold issued = gold in piece + wastage collected + allowed unaccounted. Test excess wastage alert.</t>
        </is>
      </c>
      <c r="D11" s="23" t="inlineStr">
        <is>
          <t>Production</t>
        </is>
      </c>
      <c r="E11" s="23" t="inlineStr">
        <is>
          <t>12</t>
        </is>
      </c>
      <c r="F11" s="24" t="inlineStr">
        <is>
          <t>🔲 Not started</t>
        </is>
      </c>
    </row>
    <row r="12" ht="22" customHeight="1">
      <c r="A12" s="25" t="n">
        <v>8</v>
      </c>
      <c r="B12" s="26" t="inlineStr">
        <is>
          <t>Metal Ledger End-of-Day Reconciliation</t>
        </is>
      </c>
      <c r="C12" s="26" t="inlineStr">
        <is>
          <t>Purchase gold → issue to karigar → receive piece → sell to customer → verify ledger balances to zero</t>
        </is>
      </c>
      <c r="D12" s="26" t="inlineStr">
        <is>
          <t>Core + Finance</t>
        </is>
      </c>
      <c r="E12" s="26" t="inlineStr">
        <is>
          <t>10</t>
        </is>
      </c>
      <c r="F12" s="27" t="inlineStr">
        <is>
          <t>🔲 Not started</t>
        </is>
      </c>
    </row>
    <row r="13" ht="8" customHeight="1"/>
    <row r="14" ht="16" customHeight="1">
      <c r="A14" s="28" t="inlineStr">
        <is>
          <t>Legend — Action Types:</t>
        </is>
      </c>
      <c r="B14" s="29" t="inlineStr">
        <is>
          <t>SETUP</t>
        </is>
      </c>
      <c r="C14" s="30" t="inlineStr">
        <is>
          <t>NAVIGATE</t>
        </is>
      </c>
      <c r="D14" s="31" t="inlineStr">
        <is>
          <t>ENTER</t>
        </is>
      </c>
      <c r="E14" s="32" t="inlineStr">
        <is>
          <t>CLICK</t>
        </is>
      </c>
      <c r="F14" s="33" t="inlineStr">
        <is>
          <t>VERIFY</t>
        </is>
      </c>
      <c r="G14" s="29" t="inlineStr">
        <is>
          <t>ASSERT</t>
        </is>
      </c>
      <c r="H14" s="34" t="inlineStr">
        <is>
          <t>NOTE</t>
        </is>
      </c>
      <c r="I14" s="35" t="inlineStr">
        <is>
          <t>NEGATIVE</t>
        </is>
      </c>
      <c r="J14" s="36" t="inlineStr">
        <is>
          <t>SECTION</t>
        </is>
      </c>
    </row>
    <row r="15" ht="8" customHeight="1"/>
    <row r="16" ht="18" customHeight="1">
      <c r="A16" s="37" t="inlineStr">
        <is>
          <t>MASTER MOCK DATA — set these up FIRST before running any flow</t>
        </is>
      </c>
    </row>
    <row r="17" ht="16" customHeight="1">
      <c r="A17" s="38" t="inlineStr">
        <is>
          <t xml:space="preserve">  METAL RATES</t>
        </is>
      </c>
    </row>
    <row r="18" ht="16" customHeight="1">
      <c r="A18" s="39" t="inlineStr">
        <is>
          <t xml:space="preserve"> </t>
        </is>
      </c>
      <c r="B18" s="40" t="inlineStr">
        <is>
          <t>22K Gold rate</t>
        </is>
      </c>
      <c r="C18" s="41" t="inlineStr">
        <is>
          <t>₹6,820 per gram</t>
        </is>
      </c>
      <c r="D18" s="39" t="inlineStr"/>
      <c r="E18" s="39" t="inlineStr"/>
      <c r="F18" s="39" t="inlineStr">
        <is>
          <t>Set in Metal Rates screen</t>
        </is>
      </c>
    </row>
    <row r="19" ht="16" customHeight="1">
      <c r="A19" s="42" t="inlineStr">
        <is>
          <t xml:space="preserve"> </t>
        </is>
      </c>
      <c r="B19" s="43" t="inlineStr">
        <is>
          <t>18K Gold rate</t>
        </is>
      </c>
      <c r="C19" s="44" t="inlineStr">
        <is>
          <t>₹5,640 per gram</t>
        </is>
      </c>
      <c r="D19" s="42" t="inlineStr"/>
      <c r="E19" s="42" t="inlineStr"/>
      <c r="F19" s="42" t="inlineStr">
        <is>
          <t>18K = 22K × 0.8267</t>
        </is>
      </c>
    </row>
    <row r="20" ht="16" customHeight="1">
      <c r="A20" s="39" t="inlineStr">
        <is>
          <t xml:space="preserve"> </t>
        </is>
      </c>
      <c r="B20" s="40" t="inlineStr">
        <is>
          <t>24K Gold rate</t>
        </is>
      </c>
      <c r="C20" s="41" t="inlineStr">
        <is>
          <t>₹7,439 per gram</t>
        </is>
      </c>
      <c r="D20" s="39" t="inlineStr"/>
      <c r="E20" s="39" t="inlineStr"/>
      <c r="F20" s="39" t="inlineStr">
        <is>
          <t>Pure gold reference</t>
        </is>
      </c>
    </row>
    <row r="21" ht="16" customHeight="1">
      <c r="A21" s="42" t="inlineStr">
        <is>
          <t xml:space="preserve"> </t>
        </is>
      </c>
      <c r="B21" s="43" t="inlineStr">
        <is>
          <t>Silver 999 rate</t>
        </is>
      </c>
      <c r="C21" s="44" t="inlineStr">
        <is>
          <t>₹85 per gram</t>
        </is>
      </c>
      <c r="D21" s="42" t="inlineStr"/>
      <c r="E21" s="42" t="inlineStr"/>
      <c r="F21" s="42" t="inlineStr"/>
    </row>
    <row r="22" ht="16" customHeight="1">
      <c r="A22" s="39" t="inlineStr">
        <is>
          <t xml:space="preserve"> </t>
        </is>
      </c>
      <c r="B22" s="40" t="inlineStr">
        <is>
          <t>Last updated</t>
        </is>
      </c>
      <c r="C22" s="41" t="inlineStr">
        <is>
          <t>Today's date</t>
        </is>
      </c>
      <c r="D22" s="39" t="inlineStr"/>
      <c r="E22" s="39" t="inlineStr"/>
      <c r="F22" s="39" t="inlineStr">
        <is>
          <t>Set to today</t>
        </is>
      </c>
    </row>
    <row r="23" ht="16" customHeight="1">
      <c r="A23" s="38" t="inlineStr">
        <is>
          <t xml:space="preserve">  KARIGAR MASTER</t>
        </is>
      </c>
    </row>
    <row r="24" ht="16" customHeight="1">
      <c r="A24" s="39" t="inlineStr">
        <is>
          <t xml:space="preserve"> </t>
        </is>
      </c>
      <c r="B24" s="40" t="inlineStr">
        <is>
          <t>Name</t>
        </is>
      </c>
      <c r="C24" s="41" t="inlineStr">
        <is>
          <t>Raju Goldsmith</t>
        </is>
      </c>
      <c r="D24" s="39" t="inlineStr"/>
      <c r="E24" s="39" t="inlineStr"/>
      <c r="F24" s="39" t="inlineStr">
        <is>
          <t>Primary karigar for production tests</t>
        </is>
      </c>
    </row>
    <row r="25" ht="16" customHeight="1">
      <c r="A25" s="42" t="inlineStr">
        <is>
          <t xml:space="preserve"> </t>
        </is>
      </c>
      <c r="B25" s="43" t="inlineStr">
        <is>
          <t>Trade</t>
        </is>
      </c>
      <c r="C25" s="44" t="inlineStr">
        <is>
          <t>Goldsmith (22K specialist)</t>
        </is>
      </c>
      <c r="D25" s="42" t="inlineStr"/>
      <c r="E25" s="42" t="inlineStr"/>
      <c r="F25" s="42" t="inlineStr"/>
    </row>
    <row r="26" ht="16" customHeight="1">
      <c r="A26" s="39" t="inlineStr">
        <is>
          <t xml:space="preserve"> </t>
        </is>
      </c>
      <c r="B26" s="40" t="inlineStr">
        <is>
          <t>Mobile</t>
        </is>
      </c>
      <c r="C26" s="41" t="inlineStr">
        <is>
          <t>9876543210</t>
        </is>
      </c>
      <c r="D26" s="39" t="inlineStr"/>
      <c r="E26" s="39" t="inlineStr"/>
      <c r="F26" s="39" t="inlineStr"/>
    </row>
    <row r="27" ht="16" customHeight="1">
      <c r="A27" s="42" t="inlineStr">
        <is>
          <t xml:space="preserve"> </t>
        </is>
      </c>
      <c r="B27" s="43" t="inlineStr">
        <is>
          <t>Aadhaar</t>
        </is>
      </c>
      <c r="C27" s="44" t="inlineStr">
        <is>
          <t>2345 6789 0123</t>
        </is>
      </c>
      <c r="D27" s="42" t="inlineStr"/>
      <c r="E27" s="42" t="inlineStr"/>
      <c r="F27" s="42" t="inlineStr"/>
    </row>
    <row r="28" ht="16" customHeight="1">
      <c r="A28" s="39" t="inlineStr">
        <is>
          <t xml:space="preserve"> </t>
        </is>
      </c>
      <c r="B28" s="40" t="inlineStr">
        <is>
          <t>Daily wage</t>
        </is>
      </c>
      <c r="C28" s="41" t="inlineStr">
        <is>
          <t>₹800/day</t>
        </is>
      </c>
      <c r="D28" s="39" t="inlineStr"/>
      <c r="E28" s="39" t="inlineStr"/>
      <c r="F28" s="39" t="inlineStr"/>
    </row>
    <row r="29" ht="16" customHeight="1">
      <c r="A29" s="42" t="inlineStr">
        <is>
          <t xml:space="preserve"> </t>
        </is>
      </c>
      <c r="B29" s="43" t="inlineStr">
        <is>
          <t>Making charge rate</t>
        </is>
      </c>
      <c r="C29" s="44" t="inlineStr">
        <is>
          <t>₹400 per gram</t>
        </is>
      </c>
      <c r="D29" s="42" t="inlineStr"/>
      <c r="E29" s="42" t="inlineStr"/>
      <c r="F29" s="42" t="inlineStr"/>
    </row>
    <row r="30" ht="16" customHeight="1">
      <c r="A30" s="39" t="inlineStr">
        <is>
          <t xml:space="preserve"> </t>
        </is>
      </c>
      <c r="B30" s="40" t="inlineStr">
        <is>
          <t>Allowed wastage</t>
        </is>
      </c>
      <c r="C30" s="41" t="inlineStr">
        <is>
          <t>5%</t>
        </is>
      </c>
      <c r="D30" s="39" t="inlineStr"/>
      <c r="E30" s="39" t="inlineStr"/>
      <c r="F30" s="39" t="inlineStr">
        <is>
          <t>Configurable per trade</t>
        </is>
      </c>
    </row>
    <row r="31" ht="16" customHeight="1">
      <c r="A31" s="42" t="inlineStr">
        <is>
          <t xml:space="preserve"> </t>
        </is>
      </c>
      <c r="B31" s="43" t="inlineStr">
        <is>
          <t>Name</t>
        </is>
      </c>
      <c r="C31" s="44" t="inlineStr">
        <is>
          <t>Suresh Stone Setter</t>
        </is>
      </c>
      <c r="D31" s="42" t="inlineStr"/>
      <c r="E31" s="42" t="inlineStr"/>
      <c r="F31" s="42" t="inlineStr">
        <is>
          <t>For stone setting tests</t>
        </is>
      </c>
    </row>
    <row r="32" ht="16" customHeight="1">
      <c r="A32" s="39" t="inlineStr">
        <is>
          <t xml:space="preserve"> </t>
        </is>
      </c>
      <c r="B32" s="40" t="inlineStr">
        <is>
          <t>Mobile</t>
        </is>
      </c>
      <c r="C32" s="41" t="inlineStr">
        <is>
          <t>9876543211</t>
        </is>
      </c>
      <c r="D32" s="39" t="inlineStr"/>
      <c r="E32" s="39" t="inlineStr"/>
      <c r="F32" s="39" t="inlineStr"/>
    </row>
    <row r="33" ht="16" customHeight="1">
      <c r="A33" s="38" t="inlineStr">
        <is>
          <t xml:space="preserve">  DESIGN LIBRARY</t>
        </is>
      </c>
    </row>
    <row r="34" ht="16" customHeight="1">
      <c r="A34" s="39" t="inlineStr">
        <is>
          <t xml:space="preserve"> </t>
        </is>
      </c>
      <c r="B34" s="40" t="inlineStr">
        <is>
          <t>Design code</t>
        </is>
      </c>
      <c r="C34" s="41" t="inlineStr">
        <is>
          <t>DS-NK-001</t>
        </is>
      </c>
      <c r="D34" s="39" t="inlineStr"/>
      <c r="E34" s="39" t="inlineStr"/>
      <c r="F34" s="39" t="inlineStr"/>
    </row>
    <row r="35" ht="16" customHeight="1">
      <c r="A35" s="42" t="inlineStr">
        <is>
          <t xml:space="preserve"> </t>
        </is>
      </c>
      <c r="B35" s="43" t="inlineStr">
        <is>
          <t>Design name</t>
        </is>
      </c>
      <c r="C35" s="44" t="inlineStr">
        <is>
          <t>22K Plain Necklace Set</t>
        </is>
      </c>
      <c r="D35" s="42" t="inlineStr"/>
      <c r="E35" s="42" t="inlineStr"/>
      <c r="F35" s="42" t="inlineStr"/>
    </row>
    <row r="36" ht="16" customHeight="1">
      <c r="A36" s="39" t="inlineStr">
        <is>
          <t xml:space="preserve"> </t>
        </is>
      </c>
      <c r="B36" s="40" t="inlineStr">
        <is>
          <t>Metal / Purity</t>
        </is>
      </c>
      <c r="C36" s="41" t="inlineStr">
        <is>
          <t>Gold / 22K (916)</t>
        </is>
      </c>
      <c r="D36" s="39" t="inlineStr"/>
      <c r="E36" s="39" t="inlineStr"/>
      <c r="F36" s="39" t="inlineStr"/>
    </row>
    <row r="37" ht="16" customHeight="1">
      <c r="A37" s="42" t="inlineStr">
        <is>
          <t xml:space="preserve"> </t>
        </is>
      </c>
      <c r="B37" s="43" t="inlineStr">
        <is>
          <t>Category</t>
        </is>
      </c>
      <c r="C37" s="44" t="inlineStr">
        <is>
          <t>Necklace</t>
        </is>
      </c>
      <c r="D37" s="42" t="inlineStr"/>
      <c r="E37" s="42" t="inlineStr"/>
      <c r="F37" s="42" t="inlineStr"/>
    </row>
    <row r="38" ht="16" customHeight="1">
      <c r="A38" s="39" t="inlineStr">
        <is>
          <t xml:space="preserve"> </t>
        </is>
      </c>
      <c r="B38" s="40" t="inlineStr">
        <is>
          <t>Target weight</t>
        </is>
      </c>
      <c r="C38" s="41" t="inlineStr">
        <is>
          <t>15.5 gm</t>
        </is>
      </c>
      <c r="D38" s="39" t="inlineStr"/>
      <c r="E38" s="39" t="inlineStr"/>
      <c r="F38" s="39" t="inlineStr">
        <is>
          <t>Per piece</t>
        </is>
      </c>
    </row>
    <row r="39" ht="16" customHeight="1">
      <c r="A39" s="42" t="inlineStr">
        <is>
          <t xml:space="preserve"> </t>
        </is>
      </c>
      <c r="B39" s="43" t="inlineStr">
        <is>
          <t>Making charges</t>
        </is>
      </c>
      <c r="C39" s="44" t="inlineStr">
        <is>
          <t>₹400/gm</t>
        </is>
      </c>
      <c r="D39" s="42" t="inlineStr"/>
      <c r="E39" s="42" t="inlineStr"/>
      <c r="F39" s="42" t="inlineStr"/>
    </row>
    <row r="40" ht="16" customHeight="1">
      <c r="A40" s="39" t="inlineStr">
        <is>
          <t xml:space="preserve"> </t>
        </is>
      </c>
      <c r="B40" s="40" t="inlineStr">
        <is>
          <t>Design code</t>
        </is>
      </c>
      <c r="C40" s="41" t="inlineStr">
        <is>
          <t>DS-RG-001</t>
        </is>
      </c>
      <c r="D40" s="39" t="inlineStr"/>
      <c r="E40" s="39" t="inlineStr"/>
      <c r="F40" s="39" t="inlineStr"/>
    </row>
    <row r="41" ht="16" customHeight="1">
      <c r="A41" s="42" t="inlineStr">
        <is>
          <t xml:space="preserve"> </t>
        </is>
      </c>
      <c r="B41" s="43" t="inlineStr">
        <is>
          <t>Design name</t>
        </is>
      </c>
      <c r="C41" s="44" t="inlineStr">
        <is>
          <t>18K Diamond Ring</t>
        </is>
      </c>
      <c r="D41" s="42" t="inlineStr"/>
      <c r="E41" s="42" t="inlineStr"/>
      <c r="F41" s="42" t="inlineStr"/>
    </row>
    <row r="42" ht="16" customHeight="1">
      <c r="A42" s="39" t="inlineStr">
        <is>
          <t xml:space="preserve"> </t>
        </is>
      </c>
      <c r="B42" s="40" t="inlineStr">
        <is>
          <t>Metal / Purity</t>
        </is>
      </c>
      <c r="C42" s="41" t="inlineStr">
        <is>
          <t>Gold / 18K (750)</t>
        </is>
      </c>
      <c r="D42" s="39" t="inlineStr"/>
      <c r="E42" s="39" t="inlineStr"/>
      <c r="F42" s="39" t="inlineStr"/>
    </row>
    <row r="43" ht="16" customHeight="1">
      <c r="A43" s="42" t="inlineStr">
        <is>
          <t xml:space="preserve"> </t>
        </is>
      </c>
      <c r="B43" s="43" t="inlineStr">
        <is>
          <t>Target weight</t>
        </is>
      </c>
      <c r="C43" s="44" t="inlineStr">
        <is>
          <t>4.2 gm</t>
        </is>
      </c>
      <c r="D43" s="42" t="inlineStr"/>
      <c r="E43" s="42" t="inlineStr"/>
      <c r="F43" s="42" t="inlineStr">
        <is>
          <t>Per piece</t>
        </is>
      </c>
    </row>
    <row r="44" ht="16" customHeight="1">
      <c r="A44" s="38" t="inlineStr">
        <is>
          <t xml:space="preserve">  CUSTOMERS</t>
        </is>
      </c>
    </row>
    <row r="45" ht="16" customHeight="1">
      <c r="A45" s="42" t="inlineStr">
        <is>
          <t xml:space="preserve"> </t>
        </is>
      </c>
      <c r="B45" s="43" t="inlineStr">
        <is>
          <t>Name</t>
        </is>
      </c>
      <c r="C45" s="44" t="inlineStr">
        <is>
          <t>Meena Reddy</t>
        </is>
      </c>
      <c r="D45" s="42" t="inlineStr"/>
      <c r="E45" s="42" t="inlineStr"/>
      <c r="F45" s="42" t="inlineStr">
        <is>
          <t>Retail customer</t>
        </is>
      </c>
    </row>
    <row r="46" ht="16" customHeight="1">
      <c r="A46" s="39" t="inlineStr">
        <is>
          <t xml:space="preserve"> </t>
        </is>
      </c>
      <c r="B46" s="40" t="inlineStr">
        <is>
          <t>Mobile</t>
        </is>
      </c>
      <c r="C46" s="41" t="inlineStr">
        <is>
          <t>9898989898</t>
        </is>
      </c>
      <c r="D46" s="39" t="inlineStr"/>
      <c r="E46" s="39" t="inlineStr"/>
      <c r="F46" s="39" t="inlineStr"/>
    </row>
    <row r="47" ht="16" customHeight="1">
      <c r="A47" s="42" t="inlineStr">
        <is>
          <t xml:space="preserve"> </t>
        </is>
      </c>
      <c r="B47" s="43" t="inlineStr">
        <is>
          <t>Loyalty card</t>
        </is>
      </c>
      <c r="C47" s="44" t="inlineStr">
        <is>
          <t>LY-00123</t>
        </is>
      </c>
      <c r="D47" s="42" t="inlineStr"/>
      <c r="E47" s="42" t="inlineStr"/>
      <c r="F47" s="42" t="inlineStr">
        <is>
          <t>Pre-enroll with 500 points</t>
        </is>
      </c>
    </row>
    <row r="48" ht="16" customHeight="1">
      <c r="A48" s="39" t="inlineStr">
        <is>
          <t xml:space="preserve"> </t>
        </is>
      </c>
      <c r="B48" s="40" t="inlineStr">
        <is>
          <t>Name</t>
        </is>
      </c>
      <c r="C48" s="41" t="inlineStr">
        <is>
          <t>Priya Jewellers</t>
        </is>
      </c>
      <c r="D48" s="39" t="inlineStr"/>
      <c r="E48" s="39" t="inlineStr"/>
      <c r="F48" s="39" t="inlineStr">
        <is>
          <t>Wholesale customer</t>
        </is>
      </c>
    </row>
    <row r="49" ht="16" customHeight="1">
      <c r="A49" s="42" t="inlineStr">
        <is>
          <t xml:space="preserve"> </t>
        </is>
      </c>
      <c r="B49" s="43" t="inlineStr">
        <is>
          <t>GSTIN</t>
        </is>
      </c>
      <c r="C49" s="44" t="inlineStr">
        <is>
          <t>36AAACP1234A1Z5</t>
        </is>
      </c>
      <c r="D49" s="42" t="inlineStr"/>
      <c r="E49" s="42" t="inlineStr"/>
      <c r="F49" s="42" t="inlineStr"/>
    </row>
    <row r="50" ht="16" customHeight="1">
      <c r="A50" s="39" t="inlineStr">
        <is>
          <t xml:space="preserve"> </t>
        </is>
      </c>
      <c r="B50" s="40" t="inlineStr">
        <is>
          <t>Contact</t>
        </is>
      </c>
      <c r="C50" s="41" t="inlineStr">
        <is>
          <t>Priya Sharma, 9887654321</t>
        </is>
      </c>
      <c r="D50" s="39" t="inlineStr"/>
      <c r="E50" s="39" t="inlineStr"/>
      <c r="F50" s="39" t="inlineStr"/>
    </row>
    <row r="51" ht="16" customHeight="1">
      <c r="A51" s="42" t="inlineStr">
        <is>
          <t xml:space="preserve"> </t>
        </is>
      </c>
      <c r="B51" s="43" t="inlineStr">
        <is>
          <t>Credit limit</t>
        </is>
      </c>
      <c r="C51" s="44" t="inlineStr">
        <is>
          <t>₹5,00,000</t>
        </is>
      </c>
      <c r="D51" s="42" t="inlineStr"/>
      <c r="E51" s="42" t="inlineStr"/>
      <c r="F51" s="42" t="inlineStr"/>
    </row>
    <row r="52" ht="16" customHeight="1">
      <c r="A52" s="38" t="inlineStr">
        <is>
          <t xml:space="preserve">  CHIT SCHEME</t>
        </is>
      </c>
    </row>
    <row r="53" ht="16" customHeight="1">
      <c r="A53" s="42" t="inlineStr">
        <is>
          <t xml:space="preserve"> </t>
        </is>
      </c>
      <c r="B53" s="43" t="inlineStr">
        <is>
          <t>Scheme name</t>
        </is>
      </c>
      <c r="C53" s="44" t="inlineStr">
        <is>
          <t>Gold Savings 11+1</t>
        </is>
      </c>
      <c r="D53" s="42" t="inlineStr"/>
      <c r="E53" s="42" t="inlineStr"/>
      <c r="F53" s="42" t="inlineStr"/>
    </row>
    <row r="54" ht="16" customHeight="1">
      <c r="A54" s="39" t="inlineStr">
        <is>
          <t xml:space="preserve"> </t>
        </is>
      </c>
      <c r="B54" s="40" t="inlineStr">
        <is>
          <t>Duration</t>
        </is>
      </c>
      <c r="C54" s="41" t="inlineStr">
        <is>
          <t>12 months</t>
        </is>
      </c>
      <c r="D54" s="39" t="inlineStr"/>
      <c r="E54" s="39" t="inlineStr"/>
      <c r="F54" s="39" t="inlineStr"/>
    </row>
    <row r="55" ht="16" customHeight="1">
      <c r="A55" s="42" t="inlineStr">
        <is>
          <t xml:space="preserve"> </t>
        </is>
      </c>
      <c r="B55" s="43" t="inlineStr">
        <is>
          <t>Monthly instalment</t>
        </is>
      </c>
      <c r="C55" s="44" t="inlineStr">
        <is>
          <t>₹5,000</t>
        </is>
      </c>
      <c r="D55" s="42" t="inlineStr"/>
      <c r="E55" s="42" t="inlineStr"/>
      <c r="F55" s="42" t="inlineStr"/>
    </row>
    <row r="56" ht="16" customHeight="1">
      <c r="A56" s="39" t="inlineStr">
        <is>
          <t xml:space="preserve"> </t>
        </is>
      </c>
      <c r="B56" s="40" t="inlineStr">
        <is>
          <t>Total value</t>
        </is>
      </c>
      <c r="C56" s="41" t="inlineStr">
        <is>
          <t>₹60,000</t>
        </is>
      </c>
      <c r="D56" s="39" t="inlineStr"/>
      <c r="E56" s="39" t="inlineStr"/>
      <c r="F56" s="39" t="inlineStr">
        <is>
          <t>11 paid + 1 bonus</t>
        </is>
      </c>
    </row>
    <row r="57" ht="16" customHeight="1">
      <c r="A57" s="42" t="inlineStr">
        <is>
          <t xml:space="preserve"> </t>
        </is>
      </c>
      <c r="B57" s="43" t="inlineStr">
        <is>
          <t>Bonus</t>
        </is>
      </c>
      <c r="C57" s="44" t="inlineStr">
        <is>
          <t>1 month free (₹5,000)</t>
        </is>
      </c>
      <c r="D57" s="42" t="inlineStr"/>
      <c r="E57" s="42" t="inlineStr"/>
      <c r="F57" s="42" t="inlineStr">
        <is>
          <t>On completing 11 installments</t>
        </is>
      </c>
    </row>
    <row r="58" ht="16" customHeight="1">
      <c r="A58" s="39" t="inlineStr">
        <is>
          <t xml:space="preserve"> </t>
        </is>
      </c>
      <c r="B58" s="40" t="inlineStr">
        <is>
          <t>Late fee</t>
        </is>
      </c>
      <c r="C58" s="41" t="inlineStr">
        <is>
          <t>₹100 per month</t>
        </is>
      </c>
      <c r="D58" s="39" t="inlineStr"/>
      <c r="E58" s="39" t="inlineStr"/>
      <c r="F58" s="39" t="inlineStr">
        <is>
          <t>If paid after 5th</t>
        </is>
      </c>
    </row>
    <row r="59" ht="16" customHeight="1">
      <c r="A59" s="38" t="inlineStr">
        <is>
          <t xml:space="preserve">  INVENTORY (pre-tag these items)</t>
        </is>
      </c>
    </row>
    <row r="60" ht="16" customHeight="1">
      <c r="A60" s="39" t="inlineStr">
        <is>
          <t xml:space="preserve"> </t>
        </is>
      </c>
      <c r="B60" s="40" t="inlineStr">
        <is>
          <t>Tag No</t>
        </is>
      </c>
      <c r="C60" s="41" t="inlineStr">
        <is>
          <t>DT-0042</t>
        </is>
      </c>
      <c r="D60" s="39" t="inlineStr"/>
      <c r="E60" s="39" t="inlineStr"/>
      <c r="F60" s="39" t="inlineStr">
        <is>
          <t>22K Necklace, 16.2gm, HUID: IN00124567</t>
        </is>
      </c>
    </row>
    <row r="61" ht="16" customHeight="1">
      <c r="A61" s="42" t="inlineStr">
        <is>
          <t xml:space="preserve"> </t>
        </is>
      </c>
      <c r="B61" s="43" t="inlineStr">
        <is>
          <t>Tag No</t>
        </is>
      </c>
      <c r="C61" s="44" t="inlineStr">
        <is>
          <t>DT-0043</t>
        </is>
      </c>
      <c r="D61" s="42" t="inlineStr"/>
      <c r="E61" s="42" t="inlineStr"/>
      <c r="F61" s="42" t="inlineStr">
        <is>
          <t>22K Bangle pair, 24.5gm, HUID: IN00124568</t>
        </is>
      </c>
    </row>
    <row r="62" ht="16" customHeight="1">
      <c r="A62" s="39" t="inlineStr">
        <is>
          <t xml:space="preserve"> </t>
        </is>
      </c>
      <c r="B62" s="40" t="inlineStr">
        <is>
          <t>Tag No</t>
        </is>
      </c>
      <c r="C62" s="41" t="inlineStr">
        <is>
          <t>DT-0044</t>
        </is>
      </c>
      <c r="D62" s="39" t="inlineStr"/>
      <c r="E62" s="39" t="inlineStr"/>
      <c r="F62" s="39" t="inlineStr">
        <is>
          <t>18K Diamond Ring, 4.2gm, HUID: IN00124569</t>
        </is>
      </c>
    </row>
    <row r="63" ht="16" customHeight="1">
      <c r="A63" s="42" t="inlineStr">
        <is>
          <t xml:space="preserve"> </t>
        </is>
      </c>
      <c r="B63" s="43" t="inlineStr">
        <is>
          <t>Tag No</t>
        </is>
      </c>
      <c r="C63" s="44" t="inlineStr">
        <is>
          <t>DT-0045</t>
        </is>
      </c>
      <c r="D63" s="42" t="inlineStr"/>
      <c r="E63" s="42" t="inlineStr"/>
      <c r="F63" s="42" t="inlineStr">
        <is>
          <t>22K Earrings, 6.8gm, HUID: IN00124570</t>
        </is>
      </c>
    </row>
    <row r="64" ht="16" customHeight="1">
      <c r="A64" s="39" t="inlineStr">
        <is>
          <t xml:space="preserve"> </t>
        </is>
      </c>
      <c r="B64" s="40" t="inlineStr">
        <is>
          <t>Tag No</t>
        </is>
      </c>
      <c r="C64" s="41" t="inlineStr">
        <is>
          <t>DT-0046</t>
        </is>
      </c>
      <c r="D64" s="39" t="inlineStr"/>
      <c r="E64" s="39" t="inlineStr"/>
      <c r="F64" s="39" t="inlineStr">
        <is>
          <t>22K Chain, 18.0gm, HUID: IN00124571</t>
        </is>
      </c>
    </row>
    <row r="65" ht="22" customHeight="1">
      <c r="A65" s="62" t="n">
        <v>9</v>
      </c>
      <c r="B65" s="63" t="inlineStr">
        <is>
          <t>Hallmarking Batch</t>
        </is>
      </c>
      <c r="C65" s="63" t="inlineStr">
        <is>
          <t>Submit 10 items to BIS centre → receive 9 with HUIDs + 1 rejection → verify sale unlock after HUID assignment</t>
        </is>
      </c>
      <c r="D65" s="63" t="inlineStr">
        <is>
          <t>Hallmarking Batches + BIS Hallmarking</t>
        </is>
      </c>
      <c r="E65" s="63" t="inlineStr">
        <is>
          <t>29</t>
        </is>
      </c>
      <c r="F65" s="64" t="inlineStr">
        <is>
          <t>🔲 Not started</t>
        </is>
      </c>
    </row>
    <row r="66" ht="22" customHeight="1">
      <c r="A66" s="13" t="n">
        <v>10</v>
      </c>
      <c r="B66" s="14" t="inlineStr">
        <is>
          <t>RFID Full Cycle</t>
        </is>
      </c>
      <c r="C66" s="14" t="inlineStr">
        <is>
          <t>Encode 5 tags → bulk scan (1 missing detected) → dispatch validation (extra item alert) → anti-theft gate alert</t>
        </is>
      </c>
      <c r="D66" s="14" t="inlineStr">
        <is>
          <t>RFID Tags &amp; Security</t>
        </is>
      </c>
      <c r="E66" s="14" t="inlineStr">
        <is>
          <t>32</t>
        </is>
      </c>
      <c r="F66" s="15" t="inlineStr">
        <is>
          <t>🔲 Not started</t>
        </is>
      </c>
    </row>
    <row r="67" ht="22" customHeight="1">
      <c r="A67" s="4" t="n">
        <v>11</v>
      </c>
      <c r="B67" s="5" t="inlineStr">
        <is>
          <t>E-Catalog + OMS Order</t>
        </is>
      </c>
      <c r="C67" s="5" t="inlineStr">
        <is>
          <t>Create password-protected catalogue → share to customer → enquiry received → convert to OMS order → dispatch notification</t>
        </is>
      </c>
      <c r="D67" s="5" t="inlineStr">
        <is>
          <t>E-Catalog + OMS Orders</t>
        </is>
      </c>
      <c r="E67" s="5" t="inlineStr">
        <is>
          <t>34</t>
        </is>
      </c>
      <c r="F67" s="6" t="inlineStr">
        <is>
          <t>🔲 Not started</t>
        </is>
      </c>
    </row>
    <row r="68" ht="22" customHeight="1">
      <c r="A68" s="22" t="n">
        <v>12</v>
      </c>
      <c r="B68" s="23" t="inlineStr">
        <is>
          <t>Repairs &amp; Remodeling</t>
        </is>
      </c>
      <c r="C68" s="23" t="inlineStr">
        <is>
          <t>Counter booking → receive broken necklace → issue 0.5gm gold → karigar repairs → invoice balance → delivery sign-off</t>
        </is>
      </c>
      <c r="D68" s="23" t="inlineStr">
        <is>
          <t>Repairs + Counter Bookings</t>
        </is>
      </c>
      <c r="E68" s="23" t="inlineStr">
        <is>
          <t>34</t>
        </is>
      </c>
      <c r="F68" s="24" t="inlineStr">
        <is>
          <t>🔲 Not started</t>
        </is>
      </c>
    </row>
    <row r="69" ht="22" customHeight="1">
      <c r="A69" s="16" t="n">
        <v>13</v>
      </c>
      <c r="B69" s="17" t="inlineStr">
        <is>
          <t>Refining Process</t>
        </is>
      </c>
      <c r="C69" s="17" t="inlineStr">
        <is>
          <t>Accumulate 8.5gm wastage → dispatch to refinery → receive 4.8gm refined gold → update metal ledger → refining P&amp;L</t>
        </is>
      </c>
      <c r="D69" s="17" t="inlineStr">
        <is>
          <t>Refining Entries + Metal Ledger</t>
        </is>
      </c>
      <c r="E69" s="17" t="inlineStr">
        <is>
          <t>30</t>
        </is>
      </c>
      <c r="F69" s="18" t="inlineStr">
        <is>
          <t>🔲 Not started</t>
        </is>
      </c>
    </row>
    <row r="70" ht="22" customHeight="1">
      <c r="A70" s="19" t="n">
        <v>14</v>
      </c>
      <c r="B70" s="20" t="inlineStr">
        <is>
          <t>Multi-Stage Production (18K Ring)</t>
        </is>
      </c>
      <c r="C70" s="20" t="inlineStr">
        <is>
          <t>All production stages: casting → filing → stone setting → polish → QC fail → rework → QC pass → finalize → settlement</t>
        </is>
      </c>
      <c r="D70" s="20" t="inlineStr">
        <is>
          <t>Production Orders + Ghat Entries + Settlement</t>
        </is>
      </c>
      <c r="E70" s="20" t="inlineStr">
        <is>
          <t>68</t>
        </is>
      </c>
      <c r="F70" s="21" t="inlineStr">
        <is>
          <t>🔲 Not started</t>
        </is>
      </c>
    </row>
    <row r="71" ht="22" customHeight="1">
      <c r="A71" s="65" t="inlineStr">
        <is>
          <t>SC</t>
        </is>
      </c>
      <c r="B71" s="66" t="inlineStr">
        <is>
          <t>Individual Screen Tests</t>
        </is>
      </c>
      <c r="C71" s="66" t="inlineStr">
        <is>
          <t>8 screens: Promotions, Credit limit block, Line-wise inventory, Karigar attendance, Vault audit, E-Commerce live rate, MIS analytics, Metal P&amp;L</t>
        </is>
      </c>
      <c r="D71" s="66" t="inlineStr">
        <is>
          <t>All modules</t>
        </is>
      </c>
      <c r="E71" s="66" t="inlineStr">
        <is>
          <t>50+</t>
        </is>
      </c>
      <c r="F71" s="67" t="inlineStr">
        <is>
          <t>🔲 Not started</t>
        </is>
      </c>
    </row>
    <row r="72" ht="22" customHeight="1">
      <c r="A72" s="62" t="n">
        <v>15</v>
      </c>
      <c r="B72" s="63" t="inlineStr">
        <is>
          <t>CRM Full Flow</t>
        </is>
      </c>
      <c r="C72" s="63" t="inlineStr">
        <is>
          <t>Campaign → Lead → Enquiry → Quotation → Conversion → Customer 360° → Helpdesk → Feedback → Valet Parking</t>
        </is>
      </c>
      <c r="D72" s="63" t="inlineStr">
        <is>
          <t>CRM Leads + Campaign Manager</t>
        </is>
      </c>
      <c r="E72" s="63" t="inlineStr">
        <is>
          <t>81</t>
        </is>
      </c>
      <c r="F72" s="64" t="inlineStr">
        <is>
          <t>🔲 Not started</t>
        </is>
      </c>
    </row>
    <row r="73" ht="22" customHeight="1">
      <c r="A73" s="13" t="n">
        <v>16</v>
      </c>
      <c r="B73" s="14" t="inlineStr">
        <is>
          <t>Multi-Branch Operations</t>
        </is>
      </c>
      <c r="C73" s="14" t="inlineStr">
        <is>
          <t>Stock transfer HO→Branch → in-transit lock → receive → branch POS sale → consolidated analytics + metal consolidation</t>
        </is>
      </c>
      <c r="D73" s="14" t="inlineStr">
        <is>
          <t>Inventory Transfer + Analytics</t>
        </is>
      </c>
      <c r="E73" s="14" t="inlineStr">
        <is>
          <t>45</t>
        </is>
      </c>
      <c r="F73" s="15" t="inlineStr">
        <is>
          <t>🔲 Not started</t>
        </is>
      </c>
    </row>
    <row r="74" ht="22" customHeight="1">
      <c r="A74" s="4" t="n">
        <v>17</v>
      </c>
      <c r="B74" s="5" t="inlineStr">
        <is>
          <t>Vendor Purchase + Dispatch</t>
        </is>
      </c>
      <c r="C74" s="5" t="inlineStr">
        <is>
          <t>New vendor → PO → GRN → payment → sales invoice → dispatch → e-way bill → delivery → pending payment</t>
        </is>
      </c>
      <c r="D74" s="5" t="inlineStr">
        <is>
          <t>Purchase + Dispatch + Invoices</t>
        </is>
      </c>
      <c r="E74" s="5" t="inlineStr">
        <is>
          <t>67</t>
        </is>
      </c>
      <c r="F74" s="6" t="inlineStr">
        <is>
          <t>🔲 Not started</t>
        </is>
      </c>
    </row>
    <row r="75" ht="22" customHeight="1">
      <c r="A75" s="16" t="n">
        <v>18</v>
      </c>
      <c r="B75" s="17" t="inlineStr">
        <is>
          <t>HRMS Full Payroll Flow</t>
        </is>
      </c>
      <c r="C75" s="17" t="inlineStr">
        <is>
          <t>Onboarding → roster → attendance → leave → payroll → PF/ESI → loan deduction → expense → appraisal → ESS → recruitment → exit</t>
        </is>
      </c>
      <c r="D75" s="17" t="inlineStr">
        <is>
          <t>HR + Payroll + Compliance</t>
        </is>
      </c>
      <c r="E75" s="17" t="inlineStr">
        <is>
          <t>104</t>
        </is>
      </c>
      <c r="F75" s="18" t="inlineStr">
        <is>
          <t>🔲 Not started</t>
        </is>
      </c>
    </row>
    <row r="76" ht="22" customHeight="1">
      <c r="A76" s="72" t="n">
        <v>19</v>
      </c>
      <c r="B76" s="73" t="inlineStr">
        <is>
          <t>E-Commerce Full Journey</t>
        </is>
      </c>
      <c r="C76" s="73" t="inlineStr">
        <is>
          <t>Register → browse → wishlist → cart → coupon → Razorpay → order → ERP sync → dispatch → delivery</t>
        </is>
      </c>
      <c r="D76" s="73" t="inlineStr">
        <is>
          <t>E-Commerce + OMS</t>
        </is>
      </c>
      <c r="E76" s="73" t="inlineStr">
        <is>
          <t>49</t>
        </is>
      </c>
      <c r="F76" s="74" t="inlineStr">
        <is>
          <t>🔲 Not started</t>
        </is>
      </c>
    </row>
    <row r="77" ht="22" customHeight="1">
      <c r="A77" s="4" t="n">
        <v>20</v>
      </c>
      <c r="B77" s="5" t="inlineStr">
        <is>
          <t>Gold Chit Online Portal</t>
        </is>
      </c>
      <c r="C77" s="5" t="inlineStr">
        <is>
          <t>Member OTP login → view balance → pay online (UPI) → receipt → ERP auto-updated → download certificate</t>
        </is>
      </c>
      <c r="D77" s="5" t="inlineStr">
        <is>
          <t>Chit Portal + ERP</t>
        </is>
      </c>
      <c r="E77" s="5" t="inlineStr">
        <is>
          <t>25</t>
        </is>
      </c>
      <c r="F77" s="6" t="inlineStr">
        <is>
          <t>🔲 Not started</t>
        </is>
      </c>
    </row>
    <row r="78" ht="22" customHeight="1">
      <c r="A78" s="10" t="n">
        <v>21</v>
      </c>
      <c r="B78" s="11" t="inlineStr">
        <is>
          <t>HRMS Exit Process</t>
        </is>
      </c>
      <c r="C78" s="11" t="inlineStr">
        <is>
          <t>Resignation → exit checklist (zero gold verified) → F&amp;F settlement → experience letter → PF form → exit interview</t>
        </is>
      </c>
      <c r="D78" s="11" t="inlineStr">
        <is>
          <t>HR + Payroll + ESS</t>
        </is>
      </c>
      <c r="E78" s="11" t="inlineStr">
        <is>
          <t>43</t>
        </is>
      </c>
      <c r="F78" s="12" t="inlineStr">
        <is>
          <t>🔲 Not started</t>
        </is>
      </c>
    </row>
    <row r="79" ht="22" customHeight="1">
      <c r="A79" s="13" t="n">
        <v>22</v>
      </c>
      <c r="B79" s="14" t="inlineStr">
        <is>
          <t>Bank Reconciliation</t>
        </is>
      </c>
      <c r="C79" s="14" t="inlineStr">
        <is>
          <t>Import HDFC statement → auto-match 4 transactions → handle bank charge + outstanding cheque → reconciliation report</t>
        </is>
      </c>
      <c r="D79" s="14" t="inlineStr">
        <is>
          <t>Bank Transactions</t>
        </is>
      </c>
      <c r="E79" s="14" t="inlineStr">
        <is>
          <t>31</t>
        </is>
      </c>
      <c r="F79" s="15" t="inlineStr">
        <is>
          <t>🔲 Not started</t>
        </is>
      </c>
    </row>
    <row r="80" ht="22" customHeight="1">
      <c r="A80" s="62" t="n">
        <v>23</v>
      </c>
      <c r="B80" s="63" t="inlineStr">
        <is>
          <t>CRM Dashboards &amp; Reports</t>
        </is>
      </c>
      <c r="C80" s="63" t="inlineStr">
        <is>
          <t>Sales funnel insights → campaign ROI → follow-up view → customer acquisition report → export</t>
        </is>
      </c>
      <c r="D80" s="63" t="inlineStr">
        <is>
          <t>CRM Reports</t>
        </is>
      </c>
      <c r="E80" s="63" t="inlineStr">
        <is>
          <t>28</t>
        </is>
      </c>
      <c r="F80" s="64" t="inlineStr">
        <is>
          <t>🔲 Not started</t>
        </is>
      </c>
    </row>
    <row r="81" ht="22" customHeight="1">
      <c r="A81" s="75" t="n">
        <v>24</v>
      </c>
      <c r="B81" s="76" t="inlineStr">
        <is>
          <t>Multi-Currency Invoice</t>
        </is>
      </c>
      <c r="C81" s="76" t="inlineStr">
        <is>
          <t>AED exchange rate → UAE customer → export invoice (zero GST) → payment at different rate → forex gain/loss</t>
        </is>
      </c>
      <c r="D81" s="76" t="inlineStr">
        <is>
          <t>Currency + Invoices</t>
        </is>
      </c>
      <c r="E81" s="76" t="inlineStr">
        <is>
          <t>38</t>
        </is>
      </c>
      <c r="F81" s="77" t="inlineStr">
        <is>
          <t>🔲 Not started</t>
        </is>
      </c>
    </row>
    <row r="82" ht="22" customHeight="1">
      <c r="A82" s="22" t="n">
        <v>25</v>
      </c>
      <c r="B82" s="23" t="inlineStr">
        <is>
          <t>Admin &amp; Settings Setup</t>
        </is>
      </c>
      <c r="C82" s="23" t="inlineStr">
        <is>
          <t>Company settings → roles → permissions (test block) → approval workflow → notifications → data import → API keys</t>
        </is>
      </c>
      <c r="D82" s="23" t="inlineStr">
        <is>
          <t>Admin + Settings</t>
        </is>
      </c>
      <c r="E82" s="23" t="inlineStr">
        <is>
          <t>47</t>
        </is>
      </c>
      <c r="F82" s="24" t="inlineStr">
        <is>
          <t>🔲 Not started</t>
        </is>
      </c>
    </row>
    <row r="83" ht="22" customHeight="1">
      <c r="A83" s="16" t="n">
        <v>26</v>
      </c>
      <c r="B83" s="17" t="inlineStr">
        <is>
          <t>Standard ERP Gaps</t>
        </is>
      </c>
      <c r="C83" s="17" t="inlineStr">
        <is>
          <t>Budget variance → fixed asset depreciation → TDS 26Q → warehouse transfer → project BOQ + milestone → recurring invoice</t>
        </is>
      </c>
      <c r="D83" s="17" t="inlineStr">
        <is>
          <t>Standard Modules</t>
        </is>
      </c>
      <c r="E83" s="17" t="inlineStr">
        <is>
          <t>67</t>
        </is>
      </c>
      <c r="F83" s="18" t="inlineStr">
        <is>
          <t>🔲 Not started</t>
        </is>
      </c>
    </row>
    <row r="84" ht="22" customHeight="1">
      <c r="A84" s="65" t="n">
        <v>27</v>
      </c>
      <c r="B84" s="66" t="inlineStr">
        <is>
          <t>Security Admin Flow</t>
        </is>
      </c>
      <c r="C84" s="66" t="inlineStr">
        <is>
          <t>MFA enrol + enforce → account lockout (5 failures) → IP allowlist + block test → session revoke → audit trail export + immutability</t>
        </is>
      </c>
      <c r="D84" s="66" t="inlineStr">
        <is>
          <t>Security Screens</t>
        </is>
      </c>
      <c r="E84" s="66" t="inlineStr">
        <is>
          <t>51</t>
        </is>
      </c>
      <c r="F84" s="67" t="inlineStr">
        <is>
          <t>🔲 Not started</t>
        </is>
      </c>
    </row>
    <row r="86" ht="22" customHeight="1">
      <c r="A86" s="71" t="inlineStr">
        <is>
          <t>✅  COMPLETE — 27 Flows + 8 Screen Tests  |  1240+ total test steps  |  ~98% browser coverage</t>
        </is>
      </c>
    </row>
  </sheetData>
  <mergeCells count="11">
    <mergeCell ref="A2:F2"/>
    <mergeCell ref="A16:F16"/>
    <mergeCell ref="A33:F33"/>
    <mergeCell ref="A52:F52"/>
    <mergeCell ref="A44:F44"/>
    <mergeCell ref="A1:F1"/>
    <mergeCell ref="A23:F23"/>
    <mergeCell ref="A17:F17"/>
    <mergeCell ref="A77:F77"/>
    <mergeCell ref="A86:F86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1: Complete Production Cycle (DS-NK-001 Necklace)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Setup karigar → design → production order → sketch → CAD (approval gate) → CAM → ghat entries → job finalize → karigar settlement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</t>
        </is>
      </c>
      <c r="C3" s="47" t="inlineStr">
        <is>
          <t>Steps</t>
        </is>
      </c>
      <c r="D3" s="48" t="n">
        <v>98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IF(I4="","—",TEXT(COUNTIF(I5:I200,"PASS")/COUNTA(I5:I200),"0%"))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Metal Rates</t>
        </is>
      </c>
      <c r="C5" s="50" t="inlineStr">
        <is>
          <t>/gold-erp/metal-rates</t>
        </is>
      </c>
      <c r="D5" s="51" t="inlineStr">
        <is>
          <t>SETUP</t>
        </is>
      </c>
      <c r="E5" s="50" t="inlineStr">
        <is>
          <t>22K Gold Rate</t>
        </is>
      </c>
      <c r="F5" s="52" t="inlineStr">
        <is>
          <t>6820</t>
        </is>
      </c>
      <c r="G5" s="52" t="inlineStr">
        <is>
          <t>Rate saved. Shows ₹6,820/gm with today's date</t>
        </is>
      </c>
      <c r="H5" s="50" t="inlineStr"/>
      <c r="I5" s="53" t="inlineStr"/>
      <c r="J5" s="50" t="inlineStr">
        <is>
          <t>Do this first — all calculations depend on it</t>
        </is>
      </c>
    </row>
    <row r="6" ht="18" customHeight="1">
      <c r="A6" s="47" t="n">
        <v>2</v>
      </c>
      <c r="B6" s="50" t="inlineStr">
        <is>
          <t>Karigar Master</t>
        </is>
      </c>
      <c r="C6" s="50" t="inlineStr">
        <is>
          <t>/gold-erp/karigars</t>
        </is>
      </c>
      <c r="D6" s="54" t="inlineStr">
        <is>
          <t>NAVIGATE</t>
        </is>
      </c>
      <c r="E6" s="50" t="inlineStr"/>
      <c r="F6" s="52" t="inlineStr"/>
      <c r="G6" s="52" t="inlineStr">
        <is>
          <t>Karigar list screen opens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Karigar Master</t>
        </is>
      </c>
      <c r="C7" s="50" t="inlineStr">
        <is>
          <t>/gold-erp/karigars</t>
        </is>
      </c>
      <c r="D7" s="55" t="inlineStr">
        <is>
          <t>CLICK</t>
        </is>
      </c>
      <c r="E7" s="50" t="inlineStr">
        <is>
          <t>+ Add Karigar button</t>
        </is>
      </c>
      <c r="F7" s="52" t="inlineStr"/>
      <c r="G7" s="52" t="inlineStr">
        <is>
          <t>Add karigar form opens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Karigar Master</t>
        </is>
      </c>
      <c r="C8" s="50" t="inlineStr">
        <is>
          <t>/gold-erp/karigars</t>
        </is>
      </c>
      <c r="D8" s="56" t="inlineStr">
        <is>
          <t>ENTER</t>
        </is>
      </c>
      <c r="E8" s="50" t="inlineStr">
        <is>
          <t>Name</t>
        </is>
      </c>
      <c r="F8" s="52" t="inlineStr">
        <is>
          <t>Raju Goldsmith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Karigar Master</t>
        </is>
      </c>
      <c r="C9" s="50" t="inlineStr">
        <is>
          <t>/gold-erp/karigars</t>
        </is>
      </c>
      <c r="D9" s="56" t="inlineStr">
        <is>
          <t>ENTER</t>
        </is>
      </c>
      <c r="E9" s="50" t="inlineStr">
        <is>
          <t>Trade</t>
        </is>
      </c>
      <c r="F9" s="52" t="inlineStr">
        <is>
          <t>Goldsmith</t>
        </is>
      </c>
      <c r="G9" s="52" t="inlineStr">
        <is>
          <t>Dropdown selection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Karigar Master</t>
        </is>
      </c>
      <c r="C10" s="50" t="inlineStr">
        <is>
          <t>/gold-erp/karigars</t>
        </is>
      </c>
      <c r="D10" s="56" t="inlineStr">
        <is>
          <t>ENTER</t>
        </is>
      </c>
      <c r="E10" s="50" t="inlineStr">
        <is>
          <t>Mobile</t>
        </is>
      </c>
      <c r="F10" s="52" t="inlineStr">
        <is>
          <t>9876543210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Karigar Master</t>
        </is>
      </c>
      <c r="C11" s="50" t="inlineStr">
        <is>
          <t>/gold-erp/karigars</t>
        </is>
      </c>
      <c r="D11" s="56" t="inlineStr">
        <is>
          <t>ENTER</t>
        </is>
      </c>
      <c r="E11" s="50" t="inlineStr">
        <is>
          <t>Aadhaar No</t>
        </is>
      </c>
      <c r="F11" s="52" t="inlineStr">
        <is>
          <t>2345 6789 0123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Karigar Master</t>
        </is>
      </c>
      <c r="C12" s="50" t="inlineStr">
        <is>
          <t>/gold-erp/karigars</t>
        </is>
      </c>
      <c r="D12" s="56" t="inlineStr">
        <is>
          <t>ENTER</t>
        </is>
      </c>
      <c r="E12" s="50" t="inlineStr">
        <is>
          <t>Making Charge Rate</t>
        </is>
      </c>
      <c r="F12" s="52" t="inlineStr">
        <is>
          <t>400</t>
        </is>
      </c>
      <c r="G12" s="52" t="inlineStr">
        <is>
          <t>₹400 per gram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Karigar Master</t>
        </is>
      </c>
      <c r="C13" s="50" t="inlineStr">
        <is>
          <t>/gold-erp/karigars</t>
        </is>
      </c>
      <c r="D13" s="56" t="inlineStr">
        <is>
          <t>ENTER</t>
        </is>
      </c>
      <c r="E13" s="50" t="inlineStr">
        <is>
          <t>Allowed Wastage %</t>
        </is>
      </c>
      <c r="F13" s="52" t="inlineStr">
        <is>
          <t>5</t>
        </is>
      </c>
      <c r="G13" s="52" t="inlineStr"/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Karigar Master</t>
        </is>
      </c>
      <c r="C14" s="50" t="inlineStr">
        <is>
          <t>/gold-erp/karigars</t>
        </is>
      </c>
      <c r="D14" s="55" t="inlineStr">
        <is>
          <t>CLICK</t>
        </is>
      </c>
      <c r="E14" s="50" t="inlineStr">
        <is>
          <t>Save</t>
        </is>
      </c>
      <c r="F14" s="52" t="inlineStr"/>
      <c r="G14" s="52" t="inlineStr">
        <is>
          <t>Karigar saved. KAR-001 assigned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Karigar Master</t>
        </is>
      </c>
      <c r="C15" s="50" t="inlineStr">
        <is>
          <t>/gold-erp/karigars</t>
        </is>
      </c>
      <c r="D15" s="51" t="inlineStr">
        <is>
          <t>ASSERT</t>
        </is>
      </c>
      <c r="E15" s="50" t="inlineStr">
        <is>
          <t>Record in list</t>
        </is>
      </c>
      <c r="F15" s="52" t="inlineStr">
        <is>
          <t>Raju Goldsmith</t>
        </is>
      </c>
      <c r="G15" s="57" t="inlineStr">
        <is>
          <t>Karigar appears in list with status Active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Design Library</t>
        </is>
      </c>
      <c r="C16" s="50" t="inlineStr">
        <is>
          <t>/gold-erp/designs</t>
        </is>
      </c>
      <c r="D16" s="54" t="inlineStr">
        <is>
          <t>NAVIGATE</t>
        </is>
      </c>
      <c r="E16" s="50" t="inlineStr"/>
      <c r="F16" s="52" t="inlineStr"/>
      <c r="G16" s="52" t="inlineStr">
        <is>
          <t>Design library screen opens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Design Library</t>
        </is>
      </c>
      <c r="C17" s="50" t="inlineStr">
        <is>
          <t>/gold-erp/designs</t>
        </is>
      </c>
      <c r="D17" s="55" t="inlineStr">
        <is>
          <t>CLICK</t>
        </is>
      </c>
      <c r="E17" s="50" t="inlineStr">
        <is>
          <t>+ New Design</t>
        </is>
      </c>
      <c r="F17" s="52" t="inlineStr"/>
      <c r="G17" s="52" t="inlineStr">
        <is>
          <t>Design form opens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Design Library</t>
        </is>
      </c>
      <c r="C18" s="50" t="inlineStr">
        <is>
          <t>/gold-erp/designs</t>
        </is>
      </c>
      <c r="D18" s="56" t="inlineStr">
        <is>
          <t>ENTER</t>
        </is>
      </c>
      <c r="E18" s="50" t="inlineStr">
        <is>
          <t>Design Code</t>
        </is>
      </c>
      <c r="F18" s="52" t="inlineStr">
        <is>
          <t>DS-NK-001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Design Library</t>
        </is>
      </c>
      <c r="C19" s="50" t="inlineStr">
        <is>
          <t>/gold-erp/designs</t>
        </is>
      </c>
      <c r="D19" s="56" t="inlineStr">
        <is>
          <t>ENTER</t>
        </is>
      </c>
      <c r="E19" s="50" t="inlineStr">
        <is>
          <t>Design Name</t>
        </is>
      </c>
      <c r="F19" s="52" t="inlineStr">
        <is>
          <t>22K Plain Necklace Set</t>
        </is>
      </c>
      <c r="G19" s="52" t="inlineStr"/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Design Library</t>
        </is>
      </c>
      <c r="C20" s="50" t="inlineStr">
        <is>
          <t>/gold-erp/designs</t>
        </is>
      </c>
      <c r="D20" s="56" t="inlineStr">
        <is>
          <t>ENTER</t>
        </is>
      </c>
      <c r="E20" s="50" t="inlineStr">
        <is>
          <t>Metal</t>
        </is>
      </c>
      <c r="F20" s="52" t="inlineStr">
        <is>
          <t>Gold</t>
        </is>
      </c>
      <c r="G20" s="52" t="inlineStr">
        <is>
          <t>Dropdown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Design Library</t>
        </is>
      </c>
      <c r="C21" s="50" t="inlineStr">
        <is>
          <t>/gold-erp/designs</t>
        </is>
      </c>
      <c r="D21" s="56" t="inlineStr">
        <is>
          <t>ENTER</t>
        </is>
      </c>
      <c r="E21" s="50" t="inlineStr">
        <is>
          <t>Purity</t>
        </is>
      </c>
      <c r="F21" s="52" t="inlineStr">
        <is>
          <t>22K (916)</t>
        </is>
      </c>
      <c r="G21" s="52" t="inlineStr">
        <is>
          <t>Dropdown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Design Library</t>
        </is>
      </c>
      <c r="C22" s="50" t="inlineStr">
        <is>
          <t>/gold-erp/designs</t>
        </is>
      </c>
      <c r="D22" s="56" t="inlineStr">
        <is>
          <t>ENTER</t>
        </is>
      </c>
      <c r="E22" s="50" t="inlineStr">
        <is>
          <t>Target Weight (gm)</t>
        </is>
      </c>
      <c r="F22" s="52" t="inlineStr">
        <is>
          <t>15.5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Design Library</t>
        </is>
      </c>
      <c r="C23" s="50" t="inlineStr">
        <is>
          <t>/gold-erp/designs</t>
        </is>
      </c>
      <c r="D23" s="56" t="inlineStr">
        <is>
          <t>ENTER</t>
        </is>
      </c>
      <c r="E23" s="50" t="inlineStr">
        <is>
          <t>Making Charges</t>
        </is>
      </c>
      <c r="F23" s="52" t="inlineStr">
        <is>
          <t>400</t>
        </is>
      </c>
      <c r="G23" s="52" t="inlineStr">
        <is>
          <t>₹ per gram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Design Library</t>
        </is>
      </c>
      <c r="C24" s="50" t="inlineStr">
        <is>
          <t>/gold-erp/designs</t>
        </is>
      </c>
      <c r="D24" s="55" t="inlineStr">
        <is>
          <t>CLICK</t>
        </is>
      </c>
      <c r="E24" s="50" t="inlineStr">
        <is>
          <t>Save</t>
        </is>
      </c>
      <c r="F24" s="52" t="inlineStr"/>
      <c r="G24" s="52" t="inlineStr">
        <is>
          <t>Design saved with code DS-NK-001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Production Orders</t>
        </is>
      </c>
      <c r="C25" s="50" t="inlineStr">
        <is>
          <t>/gold-erp/production-orders</t>
        </is>
      </c>
      <c r="D25" s="54" t="inlineStr">
        <is>
          <t>NAVIGATE</t>
        </is>
      </c>
      <c r="E25" s="50" t="inlineStr"/>
      <c r="F25" s="52" t="inlineStr"/>
      <c r="G25" s="52" t="inlineStr">
        <is>
          <t>Production order list opens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Production Orders</t>
        </is>
      </c>
      <c r="C26" s="50" t="inlineStr">
        <is>
          <t>/gold-erp/production-orders</t>
        </is>
      </c>
      <c r="D26" s="55" t="inlineStr">
        <is>
          <t>CLICK</t>
        </is>
      </c>
      <c r="E26" s="50" t="inlineStr">
        <is>
          <t>+ New Order</t>
        </is>
      </c>
      <c r="F26" s="52" t="inlineStr"/>
      <c r="G26" s="52" t="inlineStr">
        <is>
          <t>Production order form opens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Production Orders</t>
        </is>
      </c>
      <c r="C27" s="50" t="inlineStr">
        <is>
          <t>/gold-erp/production-orders</t>
        </is>
      </c>
      <c r="D27" s="56" t="inlineStr">
        <is>
          <t>ENTER</t>
        </is>
      </c>
      <c r="E27" s="50" t="inlineStr">
        <is>
          <t>Design</t>
        </is>
      </c>
      <c r="F27" s="52" t="inlineStr">
        <is>
          <t>DS-NK-001 — 22K Plain Necklace Set</t>
        </is>
      </c>
      <c r="G27" s="52" t="inlineStr">
        <is>
          <t>Lookup dropdown</t>
        </is>
      </c>
      <c r="H27" s="50" t="inlineStr"/>
      <c r="I27" s="53" t="inlineStr"/>
      <c r="J27" s="50" t="inlineStr">
        <is>
          <t>Auto-fills metal, purity, target weight</t>
        </is>
      </c>
    </row>
    <row r="28" ht="18" customHeight="1">
      <c r="A28" s="47" t="n">
        <v>24</v>
      </c>
      <c r="B28" s="50" t="inlineStr">
        <is>
          <t>Production Orders</t>
        </is>
      </c>
      <c r="C28" s="50" t="inlineStr">
        <is>
          <t>/gold-erp/production-orders</t>
        </is>
      </c>
      <c r="D28" s="51" t="inlineStr">
        <is>
          <t>ASSERT</t>
        </is>
      </c>
      <c r="E28" s="50" t="inlineStr">
        <is>
          <t>Target Weight (auto)</t>
        </is>
      </c>
      <c r="F28" s="52" t="inlineStr">
        <is>
          <t>15.5 gm</t>
        </is>
      </c>
      <c r="G28" s="57" t="inlineStr">
        <is>
          <t>Auto-filled from design library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Production Orders</t>
        </is>
      </c>
      <c r="C29" s="50" t="inlineStr">
        <is>
          <t>/gold-erp/production-orders</t>
        </is>
      </c>
      <c r="D29" s="56" t="inlineStr">
        <is>
          <t>ENTER</t>
        </is>
      </c>
      <c r="E29" s="50" t="inlineStr">
        <is>
          <t>Quantity</t>
        </is>
      </c>
      <c r="F29" s="52" t="inlineStr">
        <is>
          <t>1</t>
        </is>
      </c>
      <c r="G29" s="52" t="inlineStr">
        <is>
          <t>1 piece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Production Orders</t>
        </is>
      </c>
      <c r="C30" s="50" t="inlineStr">
        <is>
          <t>/gold-erp/production-orders</t>
        </is>
      </c>
      <c r="D30" s="56" t="inlineStr">
        <is>
          <t>ENTER</t>
        </is>
      </c>
      <c r="E30" s="50" t="inlineStr">
        <is>
          <t>Gold to Issue (gm)</t>
        </is>
      </c>
      <c r="F30" s="52" t="inlineStr">
        <is>
          <t>17.0</t>
        </is>
      </c>
      <c r="G30" s="52" t="inlineStr">
        <is>
          <t>~10% over target for wastage allowance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Production Orders</t>
        </is>
      </c>
      <c r="C31" s="50" t="inlineStr">
        <is>
          <t>/gold-erp/production-orders</t>
        </is>
      </c>
      <c r="D31" s="56" t="inlineStr">
        <is>
          <t>ENTER</t>
        </is>
      </c>
      <c r="E31" s="50" t="inlineStr">
        <is>
          <t>Karigar</t>
        </is>
      </c>
      <c r="F31" s="52" t="inlineStr">
        <is>
          <t>Raju Goldsmith</t>
        </is>
      </c>
      <c r="G31" s="52" t="inlineStr">
        <is>
          <t>Lookup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Production Orders</t>
        </is>
      </c>
      <c r="C32" s="50" t="inlineStr">
        <is>
          <t>/gold-erp/production-orders</t>
        </is>
      </c>
      <c r="D32" s="56" t="inlineStr">
        <is>
          <t>ENTER</t>
        </is>
      </c>
      <c r="E32" s="50" t="inlineStr">
        <is>
          <t>Priority</t>
        </is>
      </c>
      <c r="F32" s="52" t="inlineStr">
        <is>
          <t>Normal</t>
        </is>
      </c>
      <c r="G32" s="52" t="inlineStr">
        <is>
          <t>Dropdown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Production Orders</t>
        </is>
      </c>
      <c r="C33" s="50" t="inlineStr">
        <is>
          <t>/gold-erp/production-orders</t>
        </is>
      </c>
      <c r="D33" s="56" t="inlineStr">
        <is>
          <t>ENTER</t>
        </is>
      </c>
      <c r="E33" s="50" t="inlineStr">
        <is>
          <t>Target Completion</t>
        </is>
      </c>
      <c r="F33" s="52" t="inlineStr">
        <is>
          <t>Today + 7 days</t>
        </is>
      </c>
      <c r="G33" s="52" t="inlineStr">
        <is>
          <t>Date picker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Production Orders</t>
        </is>
      </c>
      <c r="C34" s="50" t="inlineStr">
        <is>
          <t>/gold-erp/production-orders</t>
        </is>
      </c>
      <c r="D34" s="55" t="inlineStr">
        <is>
          <t>CLICK</t>
        </is>
      </c>
      <c r="E34" s="50" t="inlineStr">
        <is>
          <t>Save</t>
        </is>
      </c>
      <c r="F34" s="52" t="inlineStr"/>
      <c r="G34" s="52" t="inlineStr">
        <is>
          <t>PO-2024-0001 created. Stage: Sketch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Production Orders</t>
        </is>
      </c>
      <c r="C35" s="50" t="inlineStr">
        <is>
          <t>/gold-erp/production-orders</t>
        </is>
      </c>
      <c r="D35" s="51" t="inlineStr">
        <is>
          <t>ASSERT</t>
        </is>
      </c>
      <c r="E35" s="50" t="inlineStr">
        <is>
          <t>Stage badge</t>
        </is>
      </c>
      <c r="F35" s="52" t="inlineStr">
        <is>
          <t>Sketch</t>
        </is>
      </c>
      <c r="G35" s="57" t="inlineStr">
        <is>
          <t>Stage shows 'Sketch' as first stage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Sketch / Design Library</t>
        </is>
      </c>
      <c r="C36" s="50" t="inlineStr">
        <is>
          <t>/gold-erp/sketch</t>
        </is>
      </c>
      <c r="D36" s="54" t="inlineStr">
        <is>
          <t>NAVIGATE</t>
        </is>
      </c>
      <c r="E36" s="50" t="inlineStr"/>
      <c r="F36" s="52" t="inlineStr"/>
      <c r="G36" s="52" t="inlineStr">
        <is>
          <t>Sketch screen opens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Sketch / Design Library</t>
        </is>
      </c>
      <c r="C37" s="50" t="inlineStr">
        <is>
          <t>/gold-erp/sketch</t>
        </is>
      </c>
      <c r="D37" s="56" t="inlineStr">
        <is>
          <t>ENTER</t>
        </is>
      </c>
      <c r="E37" s="50" t="inlineStr">
        <is>
          <t>Production Order</t>
        </is>
      </c>
      <c r="F37" s="52" t="inlineStr">
        <is>
          <t>PO-2024-0001</t>
        </is>
      </c>
      <c r="G37" s="52" t="inlineStr">
        <is>
          <t>Lookup — auto-fills Design Code, Customer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Sketch / Design Library</t>
        </is>
      </c>
      <c r="C38" s="50" t="inlineStr">
        <is>
          <t>/gold-erp/sketch</t>
        </is>
      </c>
      <c r="D38" s="56" t="inlineStr">
        <is>
          <t>ENTER</t>
        </is>
      </c>
      <c r="E38" s="50" t="inlineStr">
        <is>
          <t>Sketch Artist</t>
        </is>
      </c>
      <c r="F38" s="52" t="inlineStr">
        <is>
          <t>Raju Goldsmith</t>
        </is>
      </c>
      <c r="G38" s="52" t="inlineStr"/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Sketch / Design Library</t>
        </is>
      </c>
      <c r="C39" s="50" t="inlineStr">
        <is>
          <t>/gold-erp/sketch</t>
        </is>
      </c>
      <c r="D39" s="56" t="inlineStr">
        <is>
          <t>ENTER</t>
        </is>
      </c>
      <c r="E39" s="50" t="inlineStr">
        <is>
          <t>Customer Approval Status</t>
        </is>
      </c>
      <c r="F39" s="52" t="inlineStr">
        <is>
          <t>Approved</t>
        </is>
      </c>
      <c r="G39" s="52" t="inlineStr">
        <is>
          <t>Dropdown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Sketch / Design Library</t>
        </is>
      </c>
      <c r="C40" s="50" t="inlineStr">
        <is>
          <t>/gold-erp/sketch</t>
        </is>
      </c>
      <c r="D40" s="55" t="inlineStr">
        <is>
          <t>CLICK</t>
        </is>
      </c>
      <c r="E40" s="50" t="inlineStr">
        <is>
          <t>Save &amp; Proceed to CAD</t>
        </is>
      </c>
      <c r="F40" s="52" t="inlineStr"/>
      <c r="G40" s="52" t="inlineStr">
        <is>
          <t>Sketch saved. Stage advances to CAD</t>
        </is>
      </c>
      <c r="H40" s="50" t="inlineStr"/>
      <c r="I40" s="53" t="inlineStr"/>
      <c r="J40" s="50" t="inlineStr"/>
    </row>
    <row r="41" ht="18" customHeight="1">
      <c r="A41" s="47" t="n">
        <v>37</v>
      </c>
      <c r="B41" s="50" t="inlineStr">
        <is>
          <t>Sketch / Design Library</t>
        </is>
      </c>
      <c r="C41" s="50" t="inlineStr">
        <is>
          <t>/gold-erp/sketch</t>
        </is>
      </c>
      <c r="D41" s="51" t="inlineStr">
        <is>
          <t>ASSERT</t>
        </is>
      </c>
      <c r="E41" s="50" t="inlineStr">
        <is>
          <t>PO Stage</t>
        </is>
      </c>
      <c r="F41" s="52" t="inlineStr">
        <is>
          <t>CAD</t>
        </is>
      </c>
      <c r="G41" s="57" t="inlineStr">
        <is>
          <t>Production order stage updated to CAD</t>
        </is>
      </c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CAD Process</t>
        </is>
      </c>
      <c r="C42" s="50" t="inlineStr">
        <is>
          <t>/gold-erp/cad</t>
        </is>
      </c>
      <c r="D42" s="54" t="inlineStr">
        <is>
          <t>NAVIGATE</t>
        </is>
      </c>
      <c r="E42" s="50" t="inlineStr"/>
      <c r="F42" s="52" t="inlineStr"/>
      <c r="G42" s="52" t="inlineStr">
        <is>
          <t>CAD screen opens. PO-2024-0001 listed.</t>
        </is>
      </c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CAD Process</t>
        </is>
      </c>
      <c r="C43" s="50" t="inlineStr">
        <is>
          <t>/gold-erp/cad</t>
        </is>
      </c>
      <c r="D43" s="56" t="inlineStr">
        <is>
          <t>ENTER</t>
        </is>
      </c>
      <c r="E43" s="50" t="inlineStr">
        <is>
          <t>Production Order</t>
        </is>
      </c>
      <c r="F43" s="52" t="inlineStr">
        <is>
          <t>PO-2024-0001</t>
        </is>
      </c>
      <c r="G43" s="52" t="inlineStr">
        <is>
          <t>Select from dropdown — auto-fills Design Code: DS-NK-001, Metal: 22K Gold, Customer: (internal)</t>
        </is>
      </c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CAD Process</t>
        </is>
      </c>
      <c r="C44" s="50" t="inlineStr">
        <is>
          <t>/gold-erp/cad</t>
        </is>
      </c>
      <c r="D44" s="51" t="inlineStr">
        <is>
          <t>ASSERT</t>
        </is>
      </c>
      <c r="E44" s="50" t="inlineStr">
        <is>
          <t>Design Code (auto-filled)</t>
        </is>
      </c>
      <c r="F44" s="52" t="inlineStr">
        <is>
          <t>DS-NK-001</t>
        </is>
      </c>
      <c r="G44" s="57" t="inlineStr">
        <is>
          <t>Pulled from production order — no manual entry</t>
        </is>
      </c>
      <c r="H44" s="50" t="inlineStr"/>
      <c r="I44" s="53" t="inlineStr"/>
      <c r="J44" s="50" t="inlineStr">
        <is>
          <t>KEY: verify auto-fill works</t>
        </is>
      </c>
    </row>
    <row r="45" ht="18" customHeight="1">
      <c r="A45" s="47" t="n">
        <v>41</v>
      </c>
      <c r="B45" s="50" t="inlineStr">
        <is>
          <t>CAD Process</t>
        </is>
      </c>
      <c r="C45" s="50" t="inlineStr">
        <is>
          <t>/gold-erp/cad</t>
        </is>
      </c>
      <c r="D45" s="56" t="inlineStr">
        <is>
          <t>ENTER</t>
        </is>
      </c>
      <c r="E45" s="50" t="inlineStr">
        <is>
          <t>CAD Operator</t>
        </is>
      </c>
      <c r="F45" s="52" t="inlineStr">
        <is>
          <t>Raju Goldsmith</t>
        </is>
      </c>
      <c r="G45" s="52" t="inlineStr"/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CAD Process</t>
        </is>
      </c>
      <c r="C46" s="50" t="inlineStr">
        <is>
          <t>/gold-erp/cad</t>
        </is>
      </c>
      <c r="D46" s="56" t="inlineStr">
        <is>
          <t>ENTER</t>
        </is>
      </c>
      <c r="E46" s="50" t="inlineStr">
        <is>
          <t>CAD Software</t>
        </is>
      </c>
      <c r="F46" s="52" t="inlineStr">
        <is>
          <t>RhinoGold</t>
        </is>
      </c>
      <c r="G46" s="52" t="inlineStr">
        <is>
          <t>Dropdown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CAD Process</t>
        </is>
      </c>
      <c r="C47" s="50" t="inlineStr">
        <is>
          <t>/gold-erp/cad</t>
        </is>
      </c>
      <c r="D47" s="56" t="inlineStr">
        <is>
          <t>ENTER</t>
        </is>
      </c>
      <c r="E47" s="50" t="inlineStr">
        <is>
          <t>CAD Version</t>
        </is>
      </c>
      <c r="F47" s="52" t="inlineStr">
        <is>
          <t>v1</t>
        </is>
      </c>
      <c r="G47" s="52" t="inlineStr">
        <is>
          <t>Auto-increments on revision</t>
        </is>
      </c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CAD Process</t>
        </is>
      </c>
      <c r="C48" s="50" t="inlineStr">
        <is>
          <t>/gold-erp/cad</t>
        </is>
      </c>
      <c r="D48" s="55" t="inlineStr">
        <is>
          <t>CLICK</t>
        </is>
      </c>
      <c r="E48" s="50" t="inlineStr">
        <is>
          <t>Upload CAD File</t>
        </is>
      </c>
      <c r="F48" s="52" t="inlineStr">
        <is>
          <t>necklace_v1.stl (any .stl file)</t>
        </is>
      </c>
      <c r="G48" s="52" t="inlineStr">
        <is>
          <t>File picker opens — NOT a URL field. File uploads to S3.</t>
        </is>
      </c>
      <c r="H48" s="50" t="inlineStr"/>
      <c r="I48" s="53" t="inlineStr"/>
      <c r="J48" s="50" t="inlineStr">
        <is>
          <t>CRITICAL: must be file upload, not URL input</t>
        </is>
      </c>
    </row>
    <row r="49" ht="18" customHeight="1">
      <c r="A49" s="47" t="n">
        <v>45</v>
      </c>
      <c r="B49" s="50" t="inlineStr">
        <is>
          <t>CAD Process</t>
        </is>
      </c>
      <c r="C49" s="50" t="inlineStr">
        <is>
          <t>/gold-erp/cad</t>
        </is>
      </c>
      <c r="D49" s="51" t="inlineStr">
        <is>
          <t>ASSERT</t>
        </is>
      </c>
      <c r="E49" s="50" t="inlineStr">
        <is>
          <t>CAD File uploaded</t>
        </is>
      </c>
      <c r="F49" s="52" t="inlineStr">
        <is>
          <t>necklace_v1.stl shown with green tick</t>
        </is>
      </c>
      <c r="G49" s="57" t="inlineStr">
        <is>
          <t>File name appears, S3 key stored (not URL)</t>
        </is>
      </c>
      <c r="H49" s="50" t="inlineStr"/>
      <c r="I49" s="53" t="inlineStr"/>
      <c r="J49" s="50" t="inlineStr"/>
    </row>
    <row r="50" ht="18" customHeight="1">
      <c r="A50" s="47" t="n">
        <v>46</v>
      </c>
      <c r="B50" s="50" t="inlineStr">
        <is>
          <t>CAD Process</t>
        </is>
      </c>
      <c r="C50" s="50" t="inlineStr">
        <is>
          <t>/gold-erp/cad</t>
        </is>
      </c>
      <c r="D50" s="56" t="inlineStr">
        <is>
          <t>ENTER</t>
        </is>
      </c>
      <c r="E50" s="50" t="inlineStr">
        <is>
          <t>Weight Estimate (gm)</t>
        </is>
      </c>
      <c r="F50" s="52" t="inlineStr">
        <is>
          <t>16.2</t>
        </is>
      </c>
      <c r="G50" s="52" t="inlineStr">
        <is>
          <t>From CAD software mass properties</t>
        </is>
      </c>
      <c r="H50" s="50" t="inlineStr"/>
      <c r="I50" s="53" t="inlineStr"/>
      <c r="J50" s="50" t="inlineStr"/>
    </row>
    <row r="51" ht="18" customHeight="1">
      <c r="A51" s="47" t="n">
        <v>47</v>
      </c>
      <c r="B51" s="50" t="inlineStr">
        <is>
          <t>CAD Process</t>
        </is>
      </c>
      <c r="C51" s="50" t="inlineStr">
        <is>
          <t>/gold-erp/cad</t>
        </is>
      </c>
      <c r="D51" s="51" t="inlineStr">
        <is>
          <t>ASSERT</t>
        </is>
      </c>
      <c r="E51" s="50" t="inlineStr">
        <is>
          <t>Estimated Gold Value (auto)</t>
        </is>
      </c>
      <c r="F51" s="52" t="inlineStr">
        <is>
          <t>₹1,10,645</t>
        </is>
      </c>
      <c r="G51" s="57" t="inlineStr">
        <is>
          <t>16.2 × ₹6,820 × 0.916 = auto-calculated, read-only field</t>
        </is>
      </c>
      <c r="H51" s="50" t="inlineStr"/>
      <c r="I51" s="53" t="inlineStr"/>
      <c r="J51" s="50" t="inlineStr">
        <is>
          <t>Verify formula: weight × rate × purity</t>
        </is>
      </c>
    </row>
    <row r="52" ht="18" customHeight="1">
      <c r="A52" s="47" t="n">
        <v>48</v>
      </c>
      <c r="B52" s="50" t="inlineStr">
        <is>
          <t>CAD Process</t>
        </is>
      </c>
      <c r="C52" s="50" t="inlineStr">
        <is>
          <t>/gold-erp/cad</t>
        </is>
      </c>
      <c r="D52" s="55" t="inlineStr">
        <is>
          <t>CLICK</t>
        </is>
      </c>
      <c r="E52" s="50" t="inlineStr">
        <is>
          <t>Upload Render Images</t>
        </is>
      </c>
      <c r="F52" s="52" t="inlineStr">
        <is>
          <t>4 images from any source</t>
        </is>
      </c>
      <c r="G52" s="52" t="inlineStr">
        <is>
          <t>Multi-image upload. Min 4 angles required.</t>
        </is>
      </c>
      <c r="H52" s="50" t="inlineStr"/>
      <c r="I52" s="53" t="inlineStr"/>
      <c r="J52" s="50" t="inlineStr"/>
    </row>
    <row r="53" ht="18" customHeight="1">
      <c r="A53" s="47" t="n">
        <v>49</v>
      </c>
      <c r="B53" s="50" t="inlineStr">
        <is>
          <t>CAD Process</t>
        </is>
      </c>
      <c r="C53" s="50" t="inlineStr">
        <is>
          <t>/gold-erp/cad</t>
        </is>
      </c>
      <c r="D53" s="56" t="inlineStr">
        <is>
          <t>ENTER</t>
        </is>
      </c>
      <c r="E53" s="50" t="inlineStr">
        <is>
          <t>Stone Placement Verified</t>
        </is>
      </c>
      <c r="F53" s="52" t="inlineStr">
        <is>
          <t>✓ Checked</t>
        </is>
      </c>
      <c r="G53" s="52" t="inlineStr">
        <is>
          <t>Checkbox</t>
        </is>
      </c>
      <c r="H53" s="50" t="inlineStr"/>
      <c r="I53" s="53" t="inlineStr"/>
      <c r="J53" s="50" t="inlineStr"/>
    </row>
    <row r="54" ht="18" customHeight="1">
      <c r="A54" s="47" t="n">
        <v>50</v>
      </c>
      <c r="B54" s="50" t="inlineStr">
        <is>
          <t>CAD Process</t>
        </is>
      </c>
      <c r="C54" s="50" t="inlineStr">
        <is>
          <t>/gold-erp/cad</t>
        </is>
      </c>
      <c r="D54" s="56" t="inlineStr">
        <is>
          <t>ENTER</t>
        </is>
      </c>
      <c r="E54" s="50" t="inlineStr">
        <is>
          <t>Customer Approval Status</t>
        </is>
      </c>
      <c r="F54" s="52" t="inlineStr">
        <is>
          <t>Approved</t>
        </is>
      </c>
      <c r="G54" s="52" t="inlineStr">
        <is>
          <t>3-way toggle: Pending / Approved / Revision</t>
        </is>
      </c>
      <c r="H54" s="50" t="inlineStr"/>
      <c r="I54" s="53" t="inlineStr"/>
      <c r="J54" s="50" t="inlineStr"/>
    </row>
    <row r="55" ht="18" customHeight="1">
      <c r="A55" s="47" t="n">
        <v>51</v>
      </c>
      <c r="B55" s="50" t="inlineStr">
        <is>
          <t>CAD Process</t>
        </is>
      </c>
      <c r="C55" s="50" t="inlineStr">
        <is>
          <t>/gold-erp/cad</t>
        </is>
      </c>
      <c r="D55" s="51" t="inlineStr">
        <is>
          <t>ASSERT</t>
        </is>
      </c>
      <c r="E55" s="50" t="inlineStr">
        <is>
          <t>Send to CAM button</t>
        </is>
      </c>
      <c r="F55" s="52" t="inlineStr">
        <is>
          <t>Active / Green</t>
        </is>
      </c>
      <c r="G55" s="57" t="inlineStr">
        <is>
          <t>Button was greyed out. Turns green ONLY after status = Approved</t>
        </is>
      </c>
      <c r="H55" s="50" t="inlineStr"/>
      <c r="I55" s="53" t="inlineStr"/>
      <c r="J55" s="50" t="inlineStr">
        <is>
          <t>CRITICAL gate check</t>
        </is>
      </c>
    </row>
    <row r="56" ht="18" customHeight="1">
      <c r="A56" s="47" t="n">
        <v>52</v>
      </c>
      <c r="B56" s="50" t="inlineStr">
        <is>
          <t>CAD Process</t>
        </is>
      </c>
      <c r="C56" s="50" t="inlineStr">
        <is>
          <t>/gold-erp/cad</t>
        </is>
      </c>
      <c r="D56" s="56" t="inlineStr">
        <is>
          <t>ENTER</t>
        </is>
      </c>
      <c r="E56" s="50" t="inlineStr">
        <is>
          <t>Approved By</t>
        </is>
      </c>
      <c r="F56" s="52" t="inlineStr">
        <is>
          <t>Raju Goldsmith</t>
        </is>
      </c>
      <c r="G56" s="52" t="inlineStr"/>
      <c r="H56" s="50" t="inlineStr"/>
      <c r="I56" s="53" t="inlineStr"/>
      <c r="J56" s="50" t="inlineStr"/>
    </row>
    <row r="57" ht="18" customHeight="1">
      <c r="A57" s="47" t="n">
        <v>53</v>
      </c>
      <c r="B57" s="50" t="inlineStr">
        <is>
          <t>CAD Process</t>
        </is>
      </c>
      <c r="C57" s="50" t="inlineStr">
        <is>
          <t>/gold-erp/cad</t>
        </is>
      </c>
      <c r="D57" s="55" t="inlineStr">
        <is>
          <t>CLICK</t>
        </is>
      </c>
      <c r="E57" s="50" t="inlineStr">
        <is>
          <t>Send to CAM</t>
        </is>
      </c>
      <c r="F57" s="52" t="inlineStr"/>
      <c r="G57" s="52" t="inlineStr">
        <is>
          <t>CAD saved. Stage advances to CAM. PO stage = CAM</t>
        </is>
      </c>
      <c r="H57" s="50" t="inlineStr"/>
      <c r="I57" s="53" t="inlineStr"/>
      <c r="J57" s="50" t="inlineStr"/>
    </row>
    <row r="58" ht="18" customHeight="1">
      <c r="A58" s="47" t="n">
        <v>54</v>
      </c>
      <c r="B58" s="50" t="inlineStr">
        <is>
          <t>CAM / Milling Process</t>
        </is>
      </c>
      <c r="C58" s="50" t="inlineStr">
        <is>
          <t>/gold-erp/cam</t>
        </is>
      </c>
      <c r="D58" s="54" t="inlineStr">
        <is>
          <t>NAVIGATE</t>
        </is>
      </c>
      <c r="E58" s="50" t="inlineStr"/>
      <c r="F58" s="52" t="inlineStr"/>
      <c r="G58" s="52" t="inlineStr">
        <is>
          <t>CAM screen opens</t>
        </is>
      </c>
      <c r="H58" s="50" t="inlineStr"/>
      <c r="I58" s="53" t="inlineStr"/>
      <c r="J58" s="50" t="inlineStr"/>
    </row>
    <row r="59" ht="18" customHeight="1">
      <c r="A59" s="47" t="n">
        <v>55</v>
      </c>
      <c r="B59" s="50" t="inlineStr">
        <is>
          <t>CAM / Milling Process</t>
        </is>
      </c>
      <c r="C59" s="50" t="inlineStr">
        <is>
          <t>/gold-erp/cam</t>
        </is>
      </c>
      <c r="D59" s="56" t="inlineStr">
        <is>
          <t>ENTER</t>
        </is>
      </c>
      <c r="E59" s="50" t="inlineStr">
        <is>
          <t>Production Order</t>
        </is>
      </c>
      <c r="F59" s="52" t="inlineStr">
        <is>
          <t>PO-2024-0001</t>
        </is>
      </c>
      <c r="G59" s="52" t="inlineStr">
        <is>
          <t>CAD file download link visible — operator downloads to work in SprutCAM</t>
        </is>
      </c>
      <c r="H59" s="50" t="inlineStr"/>
      <c r="I59" s="53" t="inlineStr"/>
      <c r="J59" s="50" t="inlineStr"/>
    </row>
    <row r="60" ht="18" customHeight="1">
      <c r="A60" s="47" t="n">
        <v>56</v>
      </c>
      <c r="B60" s="50" t="inlineStr">
        <is>
          <t>CAM / Milling Process</t>
        </is>
      </c>
      <c r="C60" s="50" t="inlineStr">
        <is>
          <t>/gold-erp/cam</t>
        </is>
      </c>
      <c r="D60" s="56" t="inlineStr">
        <is>
          <t>ENTER</t>
        </is>
      </c>
      <c r="E60" s="50" t="inlineStr">
        <is>
          <t>CAM Operator</t>
        </is>
      </c>
      <c r="F60" s="52" t="inlineStr">
        <is>
          <t>Raju Goldsmith</t>
        </is>
      </c>
      <c r="G60" s="52" t="inlineStr"/>
      <c r="H60" s="50" t="inlineStr"/>
      <c r="I60" s="53" t="inlineStr"/>
      <c r="J60" s="50" t="inlineStr"/>
    </row>
    <row r="61" ht="18" customHeight="1">
      <c r="A61" s="47" t="n">
        <v>57</v>
      </c>
      <c r="B61" s="50" t="inlineStr">
        <is>
          <t>CAM / Milling Process</t>
        </is>
      </c>
      <c r="C61" s="50" t="inlineStr">
        <is>
          <t>/gold-erp/cam</t>
        </is>
      </c>
      <c r="D61" s="56" t="inlineStr">
        <is>
          <t>ENTER</t>
        </is>
      </c>
      <c r="E61" s="50" t="inlineStr">
        <is>
          <t>Machine / Method</t>
        </is>
      </c>
      <c r="F61" s="52" t="inlineStr">
        <is>
          <t>Wax carving (manual)</t>
        </is>
      </c>
      <c r="G61" s="52" t="inlineStr">
        <is>
          <t>Dropdown</t>
        </is>
      </c>
      <c r="H61" s="50" t="inlineStr"/>
      <c r="I61" s="53" t="inlineStr"/>
      <c r="J61" s="50" t="inlineStr"/>
    </row>
    <row r="62" ht="18" customHeight="1">
      <c r="A62" s="47" t="n">
        <v>58</v>
      </c>
      <c r="B62" s="50" t="inlineStr">
        <is>
          <t>CAM / Milling Process</t>
        </is>
      </c>
      <c r="C62" s="50" t="inlineStr">
        <is>
          <t>/gold-erp/cam</t>
        </is>
      </c>
      <c r="D62" s="55" t="inlineStr">
        <is>
          <t>CLICK</t>
        </is>
      </c>
      <c r="E62" s="50" t="inlineStr">
        <is>
          <t>Upload CAM File</t>
        </is>
      </c>
      <c r="F62" s="52" t="inlineStr">
        <is>
          <t>toolpath_nk001.gcode</t>
        </is>
      </c>
      <c r="G62" s="52" t="inlineStr">
        <is>
          <t>CAM output file upload</t>
        </is>
      </c>
      <c r="H62" s="50" t="inlineStr"/>
      <c r="I62" s="53" t="inlineStr"/>
      <c r="J62" s="50" t="inlineStr"/>
    </row>
    <row r="63" ht="18" customHeight="1">
      <c r="A63" s="47" t="n">
        <v>59</v>
      </c>
      <c r="B63" s="50" t="inlineStr">
        <is>
          <t>CAM / Milling Process</t>
        </is>
      </c>
      <c r="C63" s="50" t="inlineStr">
        <is>
          <t>/gold-erp/cam</t>
        </is>
      </c>
      <c r="D63" s="56" t="inlineStr">
        <is>
          <t>ENTER</t>
        </is>
      </c>
      <c r="E63" s="50" t="inlineStr">
        <is>
          <t>Tree Weight (gm)</t>
        </is>
      </c>
      <c r="F63" s="52" t="inlineStr">
        <is>
          <t>3.5</t>
        </is>
      </c>
      <c r="G63" s="52" t="inlineStr">
        <is>
          <t>Wax tree weight</t>
        </is>
      </c>
      <c r="H63" s="50" t="inlineStr"/>
      <c r="I63" s="53" t="inlineStr"/>
      <c r="J63" s="50" t="inlineStr"/>
    </row>
    <row r="64" ht="18" customHeight="1">
      <c r="A64" s="47" t="n">
        <v>60</v>
      </c>
      <c r="B64" s="50" t="inlineStr">
        <is>
          <t>CAM / Milling Process</t>
        </is>
      </c>
      <c r="C64" s="50" t="inlineStr">
        <is>
          <t>/gold-erp/cam</t>
        </is>
      </c>
      <c r="D64" s="56" t="inlineStr">
        <is>
          <t>ENTER</t>
        </is>
      </c>
      <c r="E64" s="50" t="inlineStr">
        <is>
          <t>Confirmed Gold Weight (gm)</t>
        </is>
      </c>
      <c r="F64" s="52" t="inlineStr">
        <is>
          <t>17.0</t>
        </is>
      </c>
      <c r="G64" s="52" t="inlineStr">
        <is>
          <t>Matches PO</t>
        </is>
      </c>
      <c r="H64" s="50" t="inlineStr"/>
      <c r="I64" s="53" t="inlineStr"/>
      <c r="J64" s="50" t="inlineStr"/>
    </row>
    <row r="65" ht="18" customHeight="1">
      <c r="A65" s="47" t="n">
        <v>61</v>
      </c>
      <c r="B65" s="50" t="inlineStr">
        <is>
          <t>CAM / Milling Process</t>
        </is>
      </c>
      <c r="C65" s="50" t="inlineStr">
        <is>
          <t>/gold-erp/cam</t>
        </is>
      </c>
      <c r="D65" s="55" t="inlineStr">
        <is>
          <t>CLICK</t>
        </is>
      </c>
      <c r="E65" s="50" t="inlineStr">
        <is>
          <t>Save &amp; Proceed</t>
        </is>
      </c>
      <c r="F65" s="52" t="inlineStr"/>
      <c r="G65" s="52" t="inlineStr">
        <is>
          <t>CAM record saved. Stage: Ghat (Pre-casting)</t>
        </is>
      </c>
      <c r="H65" s="50" t="inlineStr"/>
      <c r="I65" s="53" t="inlineStr"/>
      <c r="J65" s="50" t="inlineStr"/>
    </row>
    <row r="66" ht="18" customHeight="1">
      <c r="A66" s="47" t="n">
        <v>62</v>
      </c>
      <c r="B66" s="50" t="inlineStr">
        <is>
          <t>Ghat Entries</t>
        </is>
      </c>
      <c r="C66" s="50" t="inlineStr">
        <is>
          <t>/gold-erp/ghat</t>
        </is>
      </c>
      <c r="D66" s="54" t="inlineStr">
        <is>
          <t>NAVIGATE</t>
        </is>
      </c>
      <c r="E66" s="50" t="inlineStr"/>
      <c r="F66" s="52" t="inlineStr"/>
      <c r="G66" s="52" t="inlineStr">
        <is>
          <t>Ghat entries screen</t>
        </is>
      </c>
      <c r="H66" s="50" t="inlineStr"/>
      <c r="I66" s="53" t="inlineStr"/>
      <c r="J66" s="50" t="inlineStr"/>
    </row>
    <row r="67" ht="18" customHeight="1">
      <c r="A67" s="47" t="n">
        <v>63</v>
      </c>
      <c r="B67" s="50" t="inlineStr">
        <is>
          <t>Ghat Entries</t>
        </is>
      </c>
      <c r="C67" s="50" t="inlineStr">
        <is>
          <t>/gold-erp/ghat</t>
        </is>
      </c>
      <c r="D67" s="55" t="inlineStr">
        <is>
          <t>CLICK</t>
        </is>
      </c>
      <c r="E67" s="50" t="inlineStr">
        <is>
          <t>+ New Ghat Entry</t>
        </is>
      </c>
      <c r="F67" s="52" t="inlineStr"/>
      <c r="G67" s="52" t="inlineStr">
        <is>
          <t>Form opens</t>
        </is>
      </c>
      <c r="H67" s="50" t="inlineStr"/>
      <c r="I67" s="53" t="inlineStr"/>
      <c r="J67" s="50" t="inlineStr"/>
    </row>
    <row r="68" ht="18" customHeight="1">
      <c r="A68" s="47" t="n">
        <v>64</v>
      </c>
      <c r="B68" s="50" t="inlineStr">
        <is>
          <t>Ghat Entries</t>
        </is>
      </c>
      <c r="C68" s="50" t="inlineStr">
        <is>
          <t>/gold-erp/ghat</t>
        </is>
      </c>
      <c r="D68" s="56" t="inlineStr">
        <is>
          <t>ENTER</t>
        </is>
      </c>
      <c r="E68" s="50" t="inlineStr">
        <is>
          <t>Production Order</t>
        </is>
      </c>
      <c r="F68" s="52" t="inlineStr">
        <is>
          <t>PO-2024-0001</t>
        </is>
      </c>
      <c r="G68" s="52" t="inlineStr"/>
      <c r="H68" s="50" t="inlineStr"/>
      <c r="I68" s="53" t="inlineStr"/>
      <c r="J68" s="50" t="inlineStr"/>
    </row>
    <row r="69" ht="18" customHeight="1">
      <c r="A69" s="47" t="n">
        <v>65</v>
      </c>
      <c r="B69" s="50" t="inlineStr">
        <is>
          <t>Ghat Entries</t>
        </is>
      </c>
      <c r="C69" s="50" t="inlineStr">
        <is>
          <t>/gold-erp/ghat</t>
        </is>
      </c>
      <c r="D69" s="56" t="inlineStr">
        <is>
          <t>ENTER</t>
        </is>
      </c>
      <c r="E69" s="50" t="inlineStr">
        <is>
          <t>Stage</t>
        </is>
      </c>
      <c r="F69" s="52" t="inlineStr">
        <is>
          <t>Pre-casting</t>
        </is>
      </c>
      <c r="G69" s="52" t="inlineStr">
        <is>
          <t>Dropdown</t>
        </is>
      </c>
      <c r="H69" s="50" t="inlineStr"/>
      <c r="I69" s="53" t="inlineStr"/>
      <c r="J69" s="50" t="inlineStr"/>
    </row>
    <row r="70" ht="18" customHeight="1">
      <c r="A70" s="47" t="n">
        <v>66</v>
      </c>
      <c r="B70" s="50" t="inlineStr">
        <is>
          <t>Ghat Entries</t>
        </is>
      </c>
      <c r="C70" s="50" t="inlineStr">
        <is>
          <t>/gold-erp/ghat</t>
        </is>
      </c>
      <c r="D70" s="56" t="inlineStr">
        <is>
          <t>ENTER</t>
        </is>
      </c>
      <c r="E70" s="50" t="inlineStr">
        <is>
          <t>Gold Issued (gm)</t>
        </is>
      </c>
      <c r="F70" s="52" t="inlineStr">
        <is>
          <t>17.0</t>
        </is>
      </c>
      <c r="G70" s="52" t="inlineStr">
        <is>
          <t>Weight issued to karigar</t>
        </is>
      </c>
      <c r="H70" s="50" t="inlineStr"/>
      <c r="I70" s="53" t="inlineStr"/>
      <c r="J70" s="50" t="inlineStr"/>
    </row>
    <row r="71" ht="18" customHeight="1">
      <c r="A71" s="47" t="n">
        <v>67</v>
      </c>
      <c r="B71" s="50" t="inlineStr">
        <is>
          <t>Ghat Entries</t>
        </is>
      </c>
      <c r="C71" s="50" t="inlineStr">
        <is>
          <t>/gold-erp/ghat</t>
        </is>
      </c>
      <c r="D71" s="56" t="inlineStr">
        <is>
          <t>ENTER</t>
        </is>
      </c>
      <c r="E71" s="50" t="inlineStr">
        <is>
          <t>Purity Tested</t>
        </is>
      </c>
      <c r="F71" s="52" t="inlineStr">
        <is>
          <t>91.5</t>
        </is>
      </c>
      <c r="G71" s="52" t="inlineStr">
        <is>
          <t>% — 22K = 91.6%, allow 91.5</t>
        </is>
      </c>
      <c r="H71" s="50" t="inlineStr"/>
      <c r="I71" s="53" t="inlineStr"/>
      <c r="J71" s="50" t="inlineStr"/>
    </row>
    <row r="72" ht="18" customHeight="1">
      <c r="A72" s="47" t="n">
        <v>68</v>
      </c>
      <c r="B72" s="50" t="inlineStr">
        <is>
          <t>Ghat Entries</t>
        </is>
      </c>
      <c r="C72" s="50" t="inlineStr">
        <is>
          <t>/gold-erp/ghat</t>
        </is>
      </c>
      <c r="D72" s="56" t="inlineStr">
        <is>
          <t>ENTER</t>
        </is>
      </c>
      <c r="E72" s="50" t="inlineStr">
        <is>
          <t>Operator</t>
        </is>
      </c>
      <c r="F72" s="52" t="inlineStr">
        <is>
          <t>Raju Goldsmith</t>
        </is>
      </c>
      <c r="G72" s="52" t="inlineStr"/>
      <c r="H72" s="50" t="inlineStr"/>
      <c r="I72" s="53" t="inlineStr"/>
      <c r="J72" s="50" t="inlineStr"/>
    </row>
    <row r="73" ht="18" customHeight="1">
      <c r="A73" s="47" t="n">
        <v>69</v>
      </c>
      <c r="B73" s="50" t="inlineStr">
        <is>
          <t>Ghat Entries</t>
        </is>
      </c>
      <c r="C73" s="50" t="inlineStr">
        <is>
          <t>/gold-erp/ghat</t>
        </is>
      </c>
      <c r="D73" s="51" t="inlineStr">
        <is>
          <t>ASSERT</t>
        </is>
      </c>
      <c r="E73" s="50" t="inlineStr">
        <is>
          <t>Purity Variance</t>
        </is>
      </c>
      <c r="F73" s="52" t="inlineStr">
        <is>
          <t>0.1%</t>
        </is>
      </c>
      <c r="G73" s="57" t="inlineStr">
        <is>
          <t>91.6% expected − 91.5% actual = 0.1% variance. No alert if &lt;0.5%</t>
        </is>
      </c>
      <c r="H73" s="50" t="inlineStr"/>
      <c r="I73" s="53" t="inlineStr"/>
      <c r="J73" s="50" t="inlineStr"/>
    </row>
    <row r="74" ht="18" customHeight="1">
      <c r="A74" s="47" t="n">
        <v>70</v>
      </c>
      <c r="B74" s="50" t="inlineStr">
        <is>
          <t>Ghat Entries</t>
        </is>
      </c>
      <c r="C74" s="50" t="inlineStr">
        <is>
          <t>/gold-erp/ghat</t>
        </is>
      </c>
      <c r="D74" s="55" t="inlineStr">
        <is>
          <t>CLICK</t>
        </is>
      </c>
      <c r="E74" s="50" t="inlineStr">
        <is>
          <t>Save</t>
        </is>
      </c>
      <c r="F74" s="52" t="inlineStr"/>
      <c r="G74" s="52" t="inlineStr">
        <is>
          <t>Pre-casting ghat saved</t>
        </is>
      </c>
      <c r="H74" s="50" t="inlineStr"/>
      <c r="I74" s="53" t="inlineStr"/>
      <c r="J74" s="50" t="inlineStr"/>
    </row>
    <row r="75" ht="18" customHeight="1">
      <c r="A75" s="47" t="n">
        <v>71</v>
      </c>
      <c r="B75" s="50" t="inlineStr">
        <is>
          <t>Karigar Material Ledger</t>
        </is>
      </c>
      <c r="C75" s="50" t="inlineStr">
        <is>
          <t>/gold-erp/karigar-material-ledger</t>
        </is>
      </c>
      <c r="D75" s="54" t="inlineStr">
        <is>
          <t>NAVIGATE</t>
        </is>
      </c>
      <c r="E75" s="50" t="inlineStr"/>
      <c r="F75" s="52" t="inlineStr"/>
      <c r="G75" s="52" t="inlineStr">
        <is>
          <t>Material ledger opens</t>
        </is>
      </c>
      <c r="H75" s="50" t="inlineStr"/>
      <c r="I75" s="53" t="inlineStr"/>
      <c r="J75" s="50" t="inlineStr"/>
    </row>
    <row r="76" ht="18" customHeight="1">
      <c r="A76" s="47" t="n">
        <v>72</v>
      </c>
      <c r="B76" s="50" t="inlineStr">
        <is>
          <t>Karigar Material Ledger</t>
        </is>
      </c>
      <c r="C76" s="50" t="inlineStr">
        <is>
          <t>/gold-erp/karigar-material-ledger</t>
        </is>
      </c>
      <c r="D76" s="51" t="inlineStr">
        <is>
          <t>ASSERT</t>
        </is>
      </c>
      <c r="E76" s="50" t="inlineStr">
        <is>
          <t>Raju Goldsmith balance</t>
        </is>
      </c>
      <c r="F76" s="52" t="inlineStr">
        <is>
          <t>17.0 gm</t>
        </is>
      </c>
      <c r="G76" s="57" t="inlineStr">
        <is>
          <t>Gold in hand shows 17.0 gm after issue</t>
        </is>
      </c>
      <c r="H76" s="50" t="inlineStr"/>
      <c r="I76" s="53" t="inlineStr"/>
      <c r="J76" s="50" t="inlineStr"/>
    </row>
    <row r="77" ht="18" customHeight="1">
      <c r="A77" s="47" t="n">
        <v>73</v>
      </c>
      <c r="B77" s="50" t="inlineStr">
        <is>
          <t>Ghat Entries</t>
        </is>
      </c>
      <c r="C77" s="50" t="inlineStr">
        <is>
          <t>/gold-erp/ghat</t>
        </is>
      </c>
      <c r="D77" s="55" t="inlineStr">
        <is>
          <t>CLICK</t>
        </is>
      </c>
      <c r="E77" s="50" t="inlineStr">
        <is>
          <t>+ New Ghat Entry</t>
        </is>
      </c>
      <c r="F77" s="52" t="inlineStr"/>
      <c r="G77" s="52" t="inlineStr">
        <is>
          <t>Post-casting entry</t>
        </is>
      </c>
      <c r="H77" s="50" t="inlineStr"/>
      <c r="I77" s="53" t="inlineStr"/>
      <c r="J77" s="50" t="inlineStr"/>
    </row>
    <row r="78" ht="18" customHeight="1">
      <c r="A78" s="47" t="n">
        <v>74</v>
      </c>
      <c r="B78" s="50" t="inlineStr">
        <is>
          <t>Ghat Entries</t>
        </is>
      </c>
      <c r="C78" s="50" t="inlineStr">
        <is>
          <t>/gold-erp/ghat</t>
        </is>
      </c>
      <c r="D78" s="56" t="inlineStr">
        <is>
          <t>ENTER</t>
        </is>
      </c>
      <c r="E78" s="50" t="inlineStr">
        <is>
          <t>Stage</t>
        </is>
      </c>
      <c r="F78" s="52" t="inlineStr">
        <is>
          <t>Post-casting</t>
        </is>
      </c>
      <c r="G78" s="52" t="inlineStr">
        <is>
          <t>Dropdown</t>
        </is>
      </c>
      <c r="H78" s="50" t="inlineStr"/>
      <c r="I78" s="53" t="inlineStr"/>
      <c r="J78" s="50" t="inlineStr"/>
    </row>
    <row r="79" ht="18" customHeight="1">
      <c r="A79" s="47" t="n">
        <v>75</v>
      </c>
      <c r="B79" s="50" t="inlineStr">
        <is>
          <t>Ghat Entries</t>
        </is>
      </c>
      <c r="C79" s="50" t="inlineStr">
        <is>
          <t>/gold-erp/ghat</t>
        </is>
      </c>
      <c r="D79" s="56" t="inlineStr">
        <is>
          <t>ENTER</t>
        </is>
      </c>
      <c r="E79" s="50" t="inlineStr">
        <is>
          <t>Production Order</t>
        </is>
      </c>
      <c r="F79" s="52" t="inlineStr">
        <is>
          <t>PO-2024-0001</t>
        </is>
      </c>
      <c r="G79" s="52" t="inlineStr"/>
      <c r="H79" s="50" t="inlineStr"/>
      <c r="I79" s="53" t="inlineStr"/>
      <c r="J79" s="50" t="inlineStr"/>
    </row>
    <row r="80" ht="18" customHeight="1">
      <c r="A80" s="47" t="n">
        <v>76</v>
      </c>
      <c r="B80" s="50" t="inlineStr">
        <is>
          <t>Ghat Entries</t>
        </is>
      </c>
      <c r="C80" s="50" t="inlineStr">
        <is>
          <t>/gold-erp/ghat</t>
        </is>
      </c>
      <c r="D80" s="56" t="inlineStr">
        <is>
          <t>ENTER</t>
        </is>
      </c>
      <c r="E80" s="50" t="inlineStr">
        <is>
          <t>Gold Returned (gm)</t>
        </is>
      </c>
      <c r="F80" s="52" t="inlineStr">
        <is>
          <t>16.2</t>
        </is>
      </c>
      <c r="G80" s="52" t="inlineStr">
        <is>
          <t>Finished piece weight</t>
        </is>
      </c>
      <c r="H80" s="50" t="inlineStr"/>
      <c r="I80" s="53" t="inlineStr"/>
      <c r="J80" s="50" t="inlineStr"/>
    </row>
    <row r="81" ht="18" customHeight="1">
      <c r="A81" s="47" t="n">
        <v>77</v>
      </c>
      <c r="B81" s="50" t="inlineStr">
        <is>
          <t>Ghat Entries</t>
        </is>
      </c>
      <c r="C81" s="50" t="inlineStr">
        <is>
          <t>/gold-erp/ghat</t>
        </is>
      </c>
      <c r="D81" s="56" t="inlineStr">
        <is>
          <t>ENTER</t>
        </is>
      </c>
      <c r="E81" s="50" t="inlineStr">
        <is>
          <t>Purity Received (%)</t>
        </is>
      </c>
      <c r="F81" s="52" t="inlineStr">
        <is>
          <t>91.5</t>
        </is>
      </c>
      <c r="G81" s="52" t="inlineStr"/>
      <c r="H81" s="50" t="inlineStr"/>
      <c r="I81" s="53" t="inlineStr"/>
      <c r="J81" s="50" t="inlineStr"/>
    </row>
    <row r="82" ht="18" customHeight="1">
      <c r="A82" s="47" t="n">
        <v>78</v>
      </c>
      <c r="B82" s="50" t="inlineStr">
        <is>
          <t>Ghat Entries</t>
        </is>
      </c>
      <c r="C82" s="50" t="inlineStr">
        <is>
          <t>/gold-erp/ghat</t>
        </is>
      </c>
      <c r="D82" s="55" t="inlineStr">
        <is>
          <t>CLICK</t>
        </is>
      </c>
      <c r="E82" s="50" t="inlineStr">
        <is>
          <t>Save</t>
        </is>
      </c>
      <c r="F82" s="52" t="inlineStr"/>
      <c r="G82" s="52" t="inlineStr">
        <is>
          <t>Post-casting ghat saved</t>
        </is>
      </c>
      <c r="H82" s="50" t="inlineStr"/>
      <c r="I82" s="53" t="inlineStr"/>
      <c r="J82" s="50" t="inlineStr"/>
    </row>
    <row r="83" ht="18" customHeight="1">
      <c r="A83" s="47" t="n">
        <v>79</v>
      </c>
      <c r="B83" s="50" t="inlineStr">
        <is>
          <t>Job Finalize</t>
        </is>
      </c>
      <c r="C83" s="50" t="inlineStr">
        <is>
          <t>/gold-erp/job-finalize</t>
        </is>
      </c>
      <c r="D83" s="54" t="inlineStr">
        <is>
          <t>NAVIGATE</t>
        </is>
      </c>
      <c r="E83" s="50" t="inlineStr"/>
      <c r="F83" s="52" t="inlineStr"/>
      <c r="G83" s="52" t="inlineStr">
        <is>
          <t>Job finalize screen</t>
        </is>
      </c>
      <c r="H83" s="50" t="inlineStr"/>
      <c r="I83" s="53" t="inlineStr"/>
      <c r="J83" s="50" t="inlineStr"/>
    </row>
    <row r="84" ht="18" customHeight="1">
      <c r="A84" s="47" t="n">
        <v>80</v>
      </c>
      <c r="B84" s="50" t="inlineStr">
        <is>
          <t>Job Finalize</t>
        </is>
      </c>
      <c r="C84" s="50" t="inlineStr">
        <is>
          <t>/gold-erp/job-finalize</t>
        </is>
      </c>
      <c r="D84" s="56" t="inlineStr">
        <is>
          <t>ENTER</t>
        </is>
      </c>
      <c r="E84" s="50" t="inlineStr">
        <is>
          <t>Production Order</t>
        </is>
      </c>
      <c r="F84" s="52" t="inlineStr">
        <is>
          <t>PO-2024-0001</t>
        </is>
      </c>
      <c r="G84" s="52" t="inlineStr"/>
      <c r="H84" s="50" t="inlineStr"/>
      <c r="I84" s="53" t="inlineStr"/>
      <c r="J84" s="50" t="inlineStr"/>
    </row>
    <row r="85" ht="18" customHeight="1">
      <c r="A85" s="47" t="n">
        <v>81</v>
      </c>
      <c r="B85" s="50" t="inlineStr">
        <is>
          <t>Job Finalize</t>
        </is>
      </c>
      <c r="C85" s="50" t="inlineStr">
        <is>
          <t>/gold-erp/job-finalize</t>
        </is>
      </c>
      <c r="D85" s="56" t="inlineStr">
        <is>
          <t>ENTER</t>
        </is>
      </c>
      <c r="E85" s="50" t="inlineStr">
        <is>
          <t>Final Weight (gm)</t>
        </is>
      </c>
      <c r="F85" s="52" t="inlineStr">
        <is>
          <t>16.2</t>
        </is>
      </c>
      <c r="G85" s="52" t="inlineStr">
        <is>
          <t>Actual finished piece</t>
        </is>
      </c>
      <c r="H85" s="50" t="inlineStr"/>
      <c r="I85" s="53" t="inlineStr"/>
      <c r="J85" s="50" t="inlineStr"/>
    </row>
    <row r="86" ht="18" customHeight="1">
      <c r="A86" s="47" t="n">
        <v>82</v>
      </c>
      <c r="B86" s="50" t="inlineStr">
        <is>
          <t>Job Finalize</t>
        </is>
      </c>
      <c r="C86" s="50" t="inlineStr">
        <is>
          <t>/gold-erp/job-finalize</t>
        </is>
      </c>
      <c r="D86" s="56" t="inlineStr">
        <is>
          <t>ENTER</t>
        </is>
      </c>
      <c r="E86" s="50" t="inlineStr">
        <is>
          <t>HUID No</t>
        </is>
      </c>
      <c r="F86" s="52" t="inlineStr">
        <is>
          <t>IN00124572</t>
        </is>
      </c>
      <c r="G86" s="52" t="inlineStr">
        <is>
          <t>BIS hallmark no from centre</t>
        </is>
      </c>
      <c r="H86" s="50" t="inlineStr"/>
      <c r="I86" s="53" t="inlineStr"/>
      <c r="J86" s="50" t="inlineStr"/>
    </row>
    <row r="87" ht="18" customHeight="1">
      <c r="A87" s="47" t="n">
        <v>83</v>
      </c>
      <c r="B87" s="50" t="inlineStr">
        <is>
          <t>Job Finalize</t>
        </is>
      </c>
      <c r="C87" s="50" t="inlineStr">
        <is>
          <t>/gold-erp/job-finalize</t>
        </is>
      </c>
      <c r="D87" s="55" t="inlineStr">
        <is>
          <t>CLICK</t>
        </is>
      </c>
      <c r="E87" s="50" t="inlineStr">
        <is>
          <t>Generate Tag / Barcode</t>
        </is>
      </c>
      <c r="F87" s="52" t="inlineStr"/>
      <c r="G87" s="52" t="inlineStr">
        <is>
          <t>Barcode DT-0050 generated. Tag printed.</t>
        </is>
      </c>
      <c r="H87" s="50" t="inlineStr"/>
      <c r="I87" s="53" t="inlineStr"/>
      <c r="J87" s="50" t="inlineStr"/>
    </row>
    <row r="88" ht="18" customHeight="1">
      <c r="A88" s="47" t="n">
        <v>84</v>
      </c>
      <c r="B88" s="50" t="inlineStr">
        <is>
          <t>Job Finalize</t>
        </is>
      </c>
      <c r="C88" s="50" t="inlineStr">
        <is>
          <t>/gold-erp/job-finalize</t>
        </is>
      </c>
      <c r="D88" s="51" t="inlineStr">
        <is>
          <t>ASSERT</t>
        </is>
      </c>
      <c r="E88" s="50" t="inlineStr">
        <is>
          <t>Item in inventory</t>
        </is>
      </c>
      <c r="F88" s="52" t="inlineStr">
        <is>
          <t>DT-0050 — 22K Necklace 16.2gm</t>
        </is>
      </c>
      <c r="G88" s="57" t="inlineStr">
        <is>
          <t>Item appears in item master / inventory</t>
        </is>
      </c>
      <c r="H88" s="50" t="inlineStr"/>
      <c r="I88" s="53" t="inlineStr"/>
      <c r="J88" s="50" t="inlineStr"/>
    </row>
    <row r="89" ht="18" customHeight="1">
      <c r="A89" s="47" t="n">
        <v>85</v>
      </c>
      <c r="B89" s="50" t="inlineStr">
        <is>
          <t>Job Finalize</t>
        </is>
      </c>
      <c r="C89" s="50" t="inlineStr">
        <is>
          <t>/gold-erp/job-finalize</t>
        </is>
      </c>
      <c r="D89" s="55" t="inlineStr">
        <is>
          <t>CLICK</t>
        </is>
      </c>
      <c r="E89" s="50" t="inlineStr">
        <is>
          <t>Mark as Finished</t>
        </is>
      </c>
      <c r="F89" s="52" t="inlineStr"/>
      <c r="G89" s="52" t="inlineStr">
        <is>
          <t>Stage = Completed. Ready for dispatch.</t>
        </is>
      </c>
      <c r="H89" s="50" t="inlineStr"/>
      <c r="I89" s="53" t="inlineStr"/>
      <c r="J89" s="50" t="inlineStr"/>
    </row>
    <row r="90" ht="18" customHeight="1">
      <c r="A90" s="47" t="n">
        <v>86</v>
      </c>
      <c r="B90" s="50" t="inlineStr">
        <is>
          <t>Karigar Settlement</t>
        </is>
      </c>
      <c r="C90" s="50" t="inlineStr">
        <is>
          <t>/gold-erp/karigar-settlement</t>
        </is>
      </c>
      <c r="D90" s="54" t="inlineStr">
        <is>
          <t>NAVIGATE</t>
        </is>
      </c>
      <c r="E90" s="50" t="inlineStr"/>
      <c r="F90" s="52" t="inlineStr"/>
      <c r="G90" s="52" t="inlineStr">
        <is>
          <t>Settlement screen</t>
        </is>
      </c>
      <c r="H90" s="50" t="inlineStr"/>
      <c r="I90" s="53" t="inlineStr"/>
      <c r="J90" s="50" t="inlineStr"/>
    </row>
    <row r="91" ht="18" customHeight="1">
      <c r="A91" s="47" t="n">
        <v>87</v>
      </c>
      <c r="B91" s="50" t="inlineStr">
        <is>
          <t>Karigar Settlement</t>
        </is>
      </c>
      <c r="C91" s="50" t="inlineStr">
        <is>
          <t>/gold-erp/karigar-settlement</t>
        </is>
      </c>
      <c r="D91" s="56" t="inlineStr">
        <is>
          <t>ENTER</t>
        </is>
      </c>
      <c r="E91" s="50" t="inlineStr">
        <is>
          <t>Production Order</t>
        </is>
      </c>
      <c r="F91" s="52" t="inlineStr">
        <is>
          <t>PO-2024-0001</t>
        </is>
      </c>
      <c r="G91" s="52" t="inlineStr"/>
      <c r="H91" s="50" t="inlineStr"/>
      <c r="I91" s="53" t="inlineStr"/>
      <c r="J91" s="50" t="inlineStr"/>
    </row>
    <row r="92" ht="18" customHeight="1">
      <c r="A92" s="47" t="n">
        <v>88</v>
      </c>
      <c r="B92" s="50" t="inlineStr">
        <is>
          <t>Karigar Settlement</t>
        </is>
      </c>
      <c r="C92" s="50" t="inlineStr">
        <is>
          <t>/gold-erp/karigar-settlement</t>
        </is>
      </c>
      <c r="D92" s="51" t="inlineStr">
        <is>
          <t>ASSERT</t>
        </is>
      </c>
      <c r="E92" s="50" t="inlineStr">
        <is>
          <t>Gold Issued (auto)</t>
        </is>
      </c>
      <c r="F92" s="52" t="inlineStr">
        <is>
          <t>17.0 gm</t>
        </is>
      </c>
      <c r="G92" s="57" t="inlineStr">
        <is>
          <t>Pulled from issue record</t>
        </is>
      </c>
      <c r="H92" s="50" t="inlineStr"/>
      <c r="I92" s="53" t="inlineStr"/>
      <c r="J92" s="50" t="inlineStr"/>
    </row>
    <row r="93" ht="18" customHeight="1">
      <c r="A93" s="47" t="n">
        <v>89</v>
      </c>
      <c r="B93" s="50" t="inlineStr">
        <is>
          <t>Karigar Settlement</t>
        </is>
      </c>
      <c r="C93" s="50" t="inlineStr">
        <is>
          <t>/gold-erp/karigar-settlement</t>
        </is>
      </c>
      <c r="D93" s="51" t="inlineStr">
        <is>
          <t>ASSERT</t>
        </is>
      </c>
      <c r="E93" s="50" t="inlineStr">
        <is>
          <t>Gold in Piece (auto)</t>
        </is>
      </c>
      <c r="F93" s="52" t="inlineStr">
        <is>
          <t>16.2 gm</t>
        </is>
      </c>
      <c r="G93" s="57" t="inlineStr">
        <is>
          <t>Pulled from finalize record</t>
        </is>
      </c>
      <c r="H93" s="50" t="inlineStr"/>
      <c r="I93" s="53" t="inlineStr"/>
      <c r="J93" s="50" t="inlineStr"/>
    </row>
    <row r="94" ht="18" customHeight="1">
      <c r="A94" s="47" t="n">
        <v>90</v>
      </c>
      <c r="B94" s="50" t="inlineStr">
        <is>
          <t>Karigar Settlement</t>
        </is>
      </c>
      <c r="C94" s="50" t="inlineStr">
        <is>
          <t>/gold-erp/karigar-settlement</t>
        </is>
      </c>
      <c r="D94" s="56" t="inlineStr">
        <is>
          <t>ENTER</t>
        </is>
      </c>
      <c r="E94" s="50" t="inlineStr">
        <is>
          <t>Wastage Collected (gm)</t>
        </is>
      </c>
      <c r="F94" s="52" t="inlineStr">
        <is>
          <t>0.6</t>
        </is>
      </c>
      <c r="G94" s="52" t="inlineStr">
        <is>
          <t>Filings + dust collected</t>
        </is>
      </c>
      <c r="H94" s="50" t="inlineStr"/>
      <c r="I94" s="53" t="inlineStr"/>
      <c r="J94" s="50" t="inlineStr"/>
    </row>
    <row r="95" ht="18" customHeight="1">
      <c r="A95" s="47" t="n">
        <v>91</v>
      </c>
      <c r="B95" s="50" t="inlineStr">
        <is>
          <t>Karigar Settlement</t>
        </is>
      </c>
      <c r="C95" s="50" t="inlineStr">
        <is>
          <t>/gold-erp/karigar-settlement</t>
        </is>
      </c>
      <c r="D95" s="51" t="inlineStr">
        <is>
          <t>ASSERT</t>
        </is>
      </c>
      <c r="E95" s="50" t="inlineStr">
        <is>
          <t>Total Accounted (auto)</t>
        </is>
      </c>
      <c r="F95" s="52" t="inlineStr">
        <is>
          <t>16.8 gm</t>
        </is>
      </c>
      <c r="G95" s="57" t="inlineStr">
        <is>
          <t>16.2 + 0.6 = 16.8 gm</t>
        </is>
      </c>
      <c r="H95" s="50" t="inlineStr"/>
      <c r="I95" s="53" t="inlineStr"/>
      <c r="J95" s="50" t="inlineStr"/>
    </row>
    <row r="96" ht="18" customHeight="1">
      <c r="A96" s="47" t="n">
        <v>92</v>
      </c>
      <c r="B96" s="50" t="inlineStr">
        <is>
          <t>Karigar Settlement</t>
        </is>
      </c>
      <c r="C96" s="50" t="inlineStr">
        <is>
          <t>/gold-erp/karigar-settlement</t>
        </is>
      </c>
      <c r="D96" s="51" t="inlineStr">
        <is>
          <t>ASSERT</t>
        </is>
      </c>
      <c r="E96" s="50" t="inlineStr">
        <is>
          <t>Unaccounted (auto)</t>
        </is>
      </c>
      <c r="F96" s="52" t="inlineStr">
        <is>
          <t>0.2 gm</t>
        </is>
      </c>
      <c r="G96" s="57" t="inlineStr">
        <is>
          <t>17.0 − 16.8 = 0.2 gm</t>
        </is>
      </c>
      <c r="H96" s="50" t="inlineStr"/>
      <c r="I96" s="53" t="inlineStr"/>
      <c r="J96" s="50" t="inlineStr"/>
    </row>
    <row r="97" ht="18" customHeight="1">
      <c r="A97" s="47" t="n">
        <v>93</v>
      </c>
      <c r="B97" s="50" t="inlineStr">
        <is>
          <t>Karigar Settlement</t>
        </is>
      </c>
      <c r="C97" s="50" t="inlineStr">
        <is>
          <t>/gold-erp/karigar-settlement</t>
        </is>
      </c>
      <c r="D97" s="51" t="inlineStr">
        <is>
          <t>ASSERT</t>
        </is>
      </c>
      <c r="E97" s="50" t="inlineStr">
        <is>
          <t>Allowed Wastage (auto)</t>
        </is>
      </c>
      <c r="F97" s="52" t="inlineStr">
        <is>
          <t>0.85 gm</t>
        </is>
      </c>
      <c r="G97" s="57" t="inlineStr">
        <is>
          <t>5% of 17.0 gm</t>
        </is>
      </c>
      <c r="H97" s="50" t="inlineStr"/>
      <c r="I97" s="53" t="inlineStr"/>
      <c r="J97" s="50" t="inlineStr"/>
    </row>
    <row r="98" ht="18" customHeight="1">
      <c r="A98" s="47" t="n">
        <v>94</v>
      </c>
      <c r="B98" s="50" t="inlineStr">
        <is>
          <t>Karigar Settlement</t>
        </is>
      </c>
      <c r="C98" s="50" t="inlineStr">
        <is>
          <t>/gold-erp/karigar-settlement</t>
        </is>
      </c>
      <c r="D98" s="51" t="inlineStr">
        <is>
          <t>ASSERT</t>
        </is>
      </c>
      <c r="E98" s="50" t="inlineStr">
        <is>
          <t>Total Wastage (auto)</t>
        </is>
      </c>
      <c r="F98" s="52" t="inlineStr">
        <is>
          <t>0.8 gm</t>
        </is>
      </c>
      <c r="G98" s="57" t="inlineStr">
        <is>
          <t>0.6 collected + 0.2 unaccounted</t>
        </is>
      </c>
      <c r="H98" s="50" t="inlineStr"/>
      <c r="I98" s="53" t="inlineStr"/>
      <c r="J98" s="50" t="inlineStr"/>
    </row>
    <row r="99" ht="18" customHeight="1">
      <c r="A99" s="47" t="n">
        <v>95</v>
      </c>
      <c r="B99" s="50" t="inlineStr">
        <is>
          <t>Karigar Settlement</t>
        </is>
      </c>
      <c r="C99" s="50" t="inlineStr">
        <is>
          <t>/gold-erp/karigar-settlement</t>
        </is>
      </c>
      <c r="D99" s="51" t="inlineStr">
        <is>
          <t>ASSERT</t>
        </is>
      </c>
      <c r="E99" s="50" t="inlineStr">
        <is>
          <t>Within Allowance</t>
        </is>
      </c>
      <c r="F99" s="52" t="inlineStr">
        <is>
          <t>✓ YES (0.8 &lt; 0.85)</t>
        </is>
      </c>
      <c r="G99" s="57" t="inlineStr">
        <is>
          <t>No excess wastage deduction</t>
        </is>
      </c>
      <c r="H99" s="50" t="inlineStr"/>
      <c r="I99" s="53" t="inlineStr"/>
      <c r="J99" s="50" t="inlineStr"/>
    </row>
    <row r="100" ht="18" customHeight="1">
      <c r="A100" s="47" t="n">
        <v>96</v>
      </c>
      <c r="B100" s="50" t="inlineStr">
        <is>
          <t>Karigar Settlement</t>
        </is>
      </c>
      <c r="C100" s="50" t="inlineStr">
        <is>
          <t>/gold-erp/karigar-settlement</t>
        </is>
      </c>
      <c r="D100" s="51" t="inlineStr">
        <is>
          <t>ASSERT</t>
        </is>
      </c>
      <c r="E100" s="50" t="inlineStr">
        <is>
          <t>Making Charges (auto)</t>
        </is>
      </c>
      <c r="F100" s="52" t="inlineStr">
        <is>
          <t>₹6,480</t>
        </is>
      </c>
      <c r="G100" s="57" t="inlineStr">
        <is>
          <t>16.2 gm × ₹400 = ₹6,480</t>
        </is>
      </c>
      <c r="H100" s="50" t="inlineStr"/>
      <c r="I100" s="53" t="inlineStr"/>
      <c r="J100" s="50" t="inlineStr"/>
    </row>
    <row r="101" ht="18" customHeight="1">
      <c r="A101" s="47" t="n">
        <v>97</v>
      </c>
      <c r="B101" s="50" t="inlineStr">
        <is>
          <t>Karigar Settlement</t>
        </is>
      </c>
      <c r="C101" s="50" t="inlineStr">
        <is>
          <t>/gold-erp/karigar-settlement</t>
        </is>
      </c>
      <c r="D101" s="55" t="inlineStr">
        <is>
          <t>CLICK</t>
        </is>
      </c>
      <c r="E101" s="50" t="inlineStr">
        <is>
          <t>Settle &amp; Pay</t>
        </is>
      </c>
      <c r="F101" s="52" t="inlineStr"/>
      <c r="G101" s="52" t="inlineStr">
        <is>
          <t>Settlement saved. Karigar balance cleared. Payment record created.</t>
        </is>
      </c>
      <c r="H101" s="50" t="inlineStr"/>
      <c r="I101" s="53" t="inlineStr"/>
      <c r="J101" s="50" t="inlineStr"/>
    </row>
    <row r="102" ht="18" customHeight="1">
      <c r="A102" s="47" t="n">
        <v>98</v>
      </c>
      <c r="B102" s="50" t="inlineStr">
        <is>
          <t>Karigar Material Ledger</t>
        </is>
      </c>
      <c r="C102" s="50" t="inlineStr">
        <is>
          <t>/gold-erp/karigar-material-ledger</t>
        </is>
      </c>
      <c r="D102" s="51" t="inlineStr">
        <is>
          <t>ASSERT</t>
        </is>
      </c>
      <c r="E102" s="50" t="inlineStr">
        <is>
          <t>Raju Goldsmith balance</t>
        </is>
      </c>
      <c r="F102" s="52" t="inlineStr">
        <is>
          <t>0.0 gm</t>
        </is>
      </c>
      <c r="G102" s="57" t="inlineStr">
        <is>
          <t>Balance should be 0 after settlement</t>
        </is>
      </c>
      <c r="H102" s="50" t="inlineStr"/>
      <c r="I102" s="53" t="inlineStr"/>
      <c r="J102" s="50" t="inlineStr">
        <is>
          <t>CRITICAL: verify no gold unaccounted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2: Retail POS Sale + Old Gold Exchange + Loyalty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Walk-in customer → estimate → approval → POS billing with old gold exchange + loyalty redemption + split payment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F2</t>
        </is>
      </c>
      <c r="C3" s="47" t="inlineStr">
        <is>
          <t>Steps</t>
        </is>
      </c>
      <c r="D3" s="48" t="n">
        <v>45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IF(I4="","—",TEXT(COUNTIF(I5:I200,"PASS")/COUNTA(I5:I200),"0%"))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Estimates / Quotations</t>
        </is>
      </c>
      <c r="C5" s="50" t="inlineStr">
        <is>
          <t>/gold-erp/estimates</t>
        </is>
      </c>
      <c r="D5" s="54" t="inlineStr">
        <is>
          <t>NAVIGATE</t>
        </is>
      </c>
      <c r="E5" s="50" t="inlineStr"/>
      <c r="F5" s="52" t="inlineStr"/>
      <c r="G5" s="52" t="inlineStr">
        <is>
          <t>Estimation screen opens</t>
        </is>
      </c>
      <c r="H5" s="50" t="inlineStr"/>
      <c r="I5" s="53" t="inlineStr"/>
      <c r="J5" s="50" t="inlineStr">
        <is>
          <t>Counter staff uses this for walk-in queries</t>
        </is>
      </c>
    </row>
    <row r="6" ht="18" customHeight="1">
      <c r="A6" s="47" t="n">
        <v>2</v>
      </c>
      <c r="B6" s="50" t="inlineStr">
        <is>
          <t>Estimates / Quotations</t>
        </is>
      </c>
      <c r="C6" s="50" t="inlineStr">
        <is>
          <t>/gold-erp/estimates</t>
        </is>
      </c>
      <c r="D6" s="56" t="inlineStr">
        <is>
          <t>ENTER</t>
        </is>
      </c>
      <c r="E6" s="50" t="inlineStr">
        <is>
          <t>Customer Name</t>
        </is>
      </c>
      <c r="F6" s="52" t="inlineStr">
        <is>
          <t>Meena Reddy</t>
        </is>
      </c>
      <c r="G6" s="52" t="inlineStr">
        <is>
          <t>Optional for estimate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Estimates / Quotations</t>
        </is>
      </c>
      <c r="C7" s="50" t="inlineStr">
        <is>
          <t>/gold-erp/estimates</t>
        </is>
      </c>
      <c r="D7" s="56" t="inlineStr">
        <is>
          <t>ENTER</t>
        </is>
      </c>
      <c r="E7" s="50" t="inlineStr">
        <is>
          <t>Metal</t>
        </is>
      </c>
      <c r="F7" s="52" t="inlineStr">
        <is>
          <t>22K Gold</t>
        </is>
      </c>
      <c r="G7" s="52" t="inlineStr">
        <is>
          <t>Dropdown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Estimates / Quotations</t>
        </is>
      </c>
      <c r="C8" s="50" t="inlineStr">
        <is>
          <t>/gold-erp/estimates</t>
        </is>
      </c>
      <c r="D8" s="56" t="inlineStr">
        <is>
          <t>ENTER</t>
        </is>
      </c>
      <c r="E8" s="50" t="inlineStr">
        <is>
          <t>Weight (gm)</t>
        </is>
      </c>
      <c r="F8" s="52" t="inlineStr">
        <is>
          <t>16.2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Estimates / Quotations</t>
        </is>
      </c>
      <c r="C9" s="50" t="inlineStr">
        <is>
          <t>/gold-erp/estimates</t>
        </is>
      </c>
      <c r="D9" s="51" t="inlineStr">
        <is>
          <t>ASSERT</t>
        </is>
      </c>
      <c r="E9" s="50" t="inlineStr">
        <is>
          <t>Today's Rate (auto)</t>
        </is>
      </c>
      <c r="F9" s="52" t="inlineStr">
        <is>
          <t>₹6,820/gm</t>
        </is>
      </c>
      <c r="G9" s="57" t="inlineStr">
        <is>
          <t>Pulled from metal rates — live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Estimates / Quotations</t>
        </is>
      </c>
      <c r="C10" s="50" t="inlineStr">
        <is>
          <t>/gold-erp/estimates</t>
        </is>
      </c>
      <c r="D10" s="51" t="inlineStr">
        <is>
          <t>ASSERT</t>
        </is>
      </c>
      <c r="E10" s="50" t="inlineStr">
        <is>
          <t>Gold Value (auto)</t>
        </is>
      </c>
      <c r="F10" s="52" t="inlineStr">
        <is>
          <t>₹1,01,622</t>
        </is>
      </c>
      <c r="G10" s="57" t="inlineStr">
        <is>
          <t>16.2 × 6820 × 0.916 = auto-calculated</t>
        </is>
      </c>
      <c r="H10" s="50" t="inlineStr"/>
      <c r="I10" s="53" t="inlineStr"/>
      <c r="J10" s="50" t="inlineStr">
        <is>
          <t>Verify formula: weight × rate × 0.916</t>
        </is>
      </c>
    </row>
    <row r="11" ht="18" customHeight="1">
      <c r="A11" s="47" t="n">
        <v>7</v>
      </c>
      <c r="B11" s="50" t="inlineStr">
        <is>
          <t>Estimates / Quotations</t>
        </is>
      </c>
      <c r="C11" s="50" t="inlineStr">
        <is>
          <t>/gold-erp/estimates</t>
        </is>
      </c>
      <c r="D11" s="56" t="inlineStr">
        <is>
          <t>ENTER</t>
        </is>
      </c>
      <c r="E11" s="50" t="inlineStr">
        <is>
          <t>Making Charges</t>
        </is>
      </c>
      <c r="F11" s="52" t="inlineStr">
        <is>
          <t>₹400/gm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Estimates / Quotations</t>
        </is>
      </c>
      <c r="C12" s="50" t="inlineStr">
        <is>
          <t>/gold-erp/estimates</t>
        </is>
      </c>
      <c r="D12" s="51" t="inlineStr">
        <is>
          <t>ASSERT</t>
        </is>
      </c>
      <c r="E12" s="50" t="inlineStr">
        <is>
          <t>Making Amount (auto)</t>
        </is>
      </c>
      <c r="F12" s="52" t="inlineStr">
        <is>
          <t>₹6,480</t>
        </is>
      </c>
      <c r="G12" s="57" t="inlineStr">
        <is>
          <t>16.2 × 400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Estimates / Quotations</t>
        </is>
      </c>
      <c r="C13" s="50" t="inlineStr">
        <is>
          <t>/gold-erp/estimates</t>
        </is>
      </c>
      <c r="D13" s="51" t="inlineStr">
        <is>
          <t>ASSERT</t>
        </is>
      </c>
      <c r="E13" s="50" t="inlineStr">
        <is>
          <t>GST (auto)</t>
        </is>
      </c>
      <c r="F13" s="52" t="inlineStr">
        <is>
          <t>₹3,285</t>
        </is>
      </c>
      <c r="G13" s="57" t="inlineStr">
        <is>
          <t>GST on gold 3%: ₹3,047 + GST on making 5%: ₹324 = ₹3,371</t>
        </is>
      </c>
      <c r="H13" s="50" t="inlineStr"/>
      <c r="I13" s="53" t="inlineStr"/>
      <c r="J13" s="50" t="inlineStr">
        <is>
          <t>Verify GST split: 3% on gold, 5% on making</t>
        </is>
      </c>
    </row>
    <row r="14" ht="18" customHeight="1">
      <c r="A14" s="47" t="n">
        <v>10</v>
      </c>
      <c r="B14" s="50" t="inlineStr">
        <is>
          <t>Estimates / Quotations</t>
        </is>
      </c>
      <c r="C14" s="50" t="inlineStr">
        <is>
          <t>/gold-erp/estimates</t>
        </is>
      </c>
      <c r="D14" s="51" t="inlineStr">
        <is>
          <t>ASSERT</t>
        </is>
      </c>
      <c r="E14" s="50" t="inlineStr">
        <is>
          <t>Total Estimate (auto)</t>
        </is>
      </c>
      <c r="F14" s="52" t="inlineStr">
        <is>
          <t>Approx ₹1,11,473</t>
        </is>
      </c>
      <c r="G14" s="57" t="inlineStr">
        <is>
          <t>Gold + making + GST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Estimates / Quotations</t>
        </is>
      </c>
      <c r="C15" s="50" t="inlineStr">
        <is>
          <t>/gold-erp/estimates</t>
        </is>
      </c>
      <c r="D15" s="55" t="inlineStr">
        <is>
          <t>CLICK</t>
        </is>
      </c>
      <c r="E15" s="50" t="inlineStr">
        <is>
          <t>Share on WhatsApp</t>
        </is>
      </c>
      <c r="F15" s="52" t="inlineStr"/>
      <c r="G15" s="52" t="inlineStr">
        <is>
          <t>Estimate PDF sent to 9898989898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Customer Approvals</t>
        </is>
      </c>
      <c r="C16" s="50" t="inlineStr">
        <is>
          <t>/gold-erp/approvals</t>
        </is>
      </c>
      <c r="D16" s="54" t="inlineStr">
        <is>
          <t>NAVIGATE</t>
        </is>
      </c>
      <c r="E16" s="50" t="inlineStr"/>
      <c r="F16" s="52" t="inlineStr"/>
      <c r="G16" s="52" t="inlineStr">
        <is>
          <t>Customer approval list</t>
        </is>
      </c>
      <c r="H16" s="50" t="inlineStr"/>
      <c r="I16" s="53" t="inlineStr"/>
      <c r="J16" s="50" t="inlineStr">
        <is>
          <t>For 'items on approval' use case</t>
        </is>
      </c>
    </row>
    <row r="17" ht="18" customHeight="1">
      <c r="A17" s="47" t="n">
        <v>13</v>
      </c>
      <c r="B17" s="50" t="inlineStr">
        <is>
          <t>Customer Approvals</t>
        </is>
      </c>
      <c r="C17" s="50" t="inlineStr">
        <is>
          <t>/gold-erp/approvals</t>
        </is>
      </c>
      <c r="D17" s="55" t="inlineStr">
        <is>
          <t>CLICK</t>
        </is>
      </c>
      <c r="E17" s="50" t="inlineStr">
        <is>
          <t>+ Issue on Approval</t>
        </is>
      </c>
      <c r="F17" s="52" t="inlineStr"/>
      <c r="G17" s="52" t="inlineStr">
        <is>
          <t>Form opens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Customer Approvals</t>
        </is>
      </c>
      <c r="C18" s="50" t="inlineStr">
        <is>
          <t>/gold-erp/approvals</t>
        </is>
      </c>
      <c r="D18" s="56" t="inlineStr">
        <is>
          <t>ENTER</t>
        </is>
      </c>
      <c r="E18" s="50" t="inlineStr">
        <is>
          <t>Customer</t>
        </is>
      </c>
      <c r="F18" s="52" t="inlineStr">
        <is>
          <t>Meena Reddy — 9898989898</t>
        </is>
      </c>
      <c r="G18" s="52" t="inlineStr">
        <is>
          <t>Lookup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Customer Approvals</t>
        </is>
      </c>
      <c r="C19" s="50" t="inlineStr">
        <is>
          <t>/gold-erp/approvals</t>
        </is>
      </c>
      <c r="D19" s="56" t="inlineStr">
        <is>
          <t>ENTER</t>
        </is>
      </c>
      <c r="E19" s="50" t="inlineStr">
        <is>
          <t>Items</t>
        </is>
      </c>
      <c r="F19" s="52" t="inlineStr">
        <is>
          <t>DT-0042 (scan barcode)</t>
        </is>
      </c>
      <c r="G19" s="52" t="inlineStr">
        <is>
          <t>Scan item tag</t>
        </is>
      </c>
      <c r="H19" s="50" t="inlineStr"/>
      <c r="I19" s="53" t="inlineStr"/>
      <c r="J19" s="50" t="inlineStr">
        <is>
          <t>Auto-fills: 22K Necklace, 16.2gm, ₹1,11,473</t>
        </is>
      </c>
    </row>
    <row r="20" ht="18" customHeight="1">
      <c r="A20" s="47" t="n">
        <v>16</v>
      </c>
      <c r="B20" s="50" t="inlineStr">
        <is>
          <t>Customer Approvals</t>
        </is>
      </c>
      <c r="C20" s="50" t="inlineStr">
        <is>
          <t>/gold-erp/approvals</t>
        </is>
      </c>
      <c r="D20" s="56" t="inlineStr">
        <is>
          <t>ENTER</t>
        </is>
      </c>
      <c r="E20" s="50" t="inlineStr">
        <is>
          <t>Expected Return Date</t>
        </is>
      </c>
      <c r="F20" s="52" t="inlineStr">
        <is>
          <t>Today + 2 days</t>
        </is>
      </c>
      <c r="G20" s="52" t="inlineStr"/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Customer Approvals</t>
        </is>
      </c>
      <c r="C21" s="50" t="inlineStr">
        <is>
          <t>/gold-erp/approvals</t>
        </is>
      </c>
      <c r="D21" s="55" t="inlineStr">
        <is>
          <t>CLICK</t>
        </is>
      </c>
      <c r="E21" s="50" t="inlineStr">
        <is>
          <t>Save</t>
        </is>
      </c>
      <c r="F21" s="52" t="inlineStr"/>
      <c r="G21" s="52" t="inlineStr">
        <is>
          <t>Approval record created. Item status = On Approval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Customer Approvals</t>
        </is>
      </c>
      <c r="C22" s="50" t="inlineStr">
        <is>
          <t>/gold-erp/approvals</t>
        </is>
      </c>
      <c r="D22" s="51" t="inlineStr">
        <is>
          <t>ASSERT</t>
        </is>
      </c>
      <c r="E22" s="50" t="inlineStr">
        <is>
          <t>Item status in inventory</t>
        </is>
      </c>
      <c r="F22" s="52" t="inlineStr">
        <is>
          <t>On Approval</t>
        </is>
      </c>
      <c r="G22" s="57" t="inlineStr">
        <is>
          <t>DT-0042 marked as 'On Approval' — not available for sale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Customer Approvals</t>
        </is>
      </c>
      <c r="C23" s="50" t="inlineStr">
        <is>
          <t>/gold-erp/approvals</t>
        </is>
      </c>
      <c r="D23" s="55" t="inlineStr">
        <is>
          <t>CLICK</t>
        </is>
      </c>
      <c r="E23" s="50" t="inlineStr">
        <is>
          <t>Convert to Sale (DT-0042)</t>
        </is>
      </c>
      <c r="F23" s="52" t="inlineStr"/>
      <c r="G23" s="52" t="inlineStr">
        <is>
          <t>Triggers POS with item pre-loaded</t>
        </is>
      </c>
      <c r="H23" s="50" t="inlineStr"/>
      <c r="I23" s="53" t="inlineStr"/>
      <c r="J23" s="50" t="inlineStr">
        <is>
          <t>Customer decided to buy</t>
        </is>
      </c>
    </row>
    <row r="24" ht="18" customHeight="1">
      <c r="A24" s="47" t="n">
        <v>20</v>
      </c>
      <c r="B24" s="50" t="inlineStr">
        <is>
          <t>Jewellery POS (Full)</t>
        </is>
      </c>
      <c r="C24" s="50" t="inlineStr">
        <is>
          <t>/gold-erp/pos</t>
        </is>
      </c>
      <c r="D24" s="51" t="inlineStr">
        <is>
          <t>ASSERT</t>
        </is>
      </c>
      <c r="E24" s="50" t="inlineStr">
        <is>
          <t>Item pre-loaded</t>
        </is>
      </c>
      <c r="F24" s="52" t="inlineStr">
        <is>
          <t>DT-0042 — 22K Necklace 16.2gm</t>
        </is>
      </c>
      <c r="G24" s="57" t="inlineStr">
        <is>
          <t>Item carried over from approval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Jewellery POS (Full)</t>
        </is>
      </c>
      <c r="C25" s="50" t="inlineStr">
        <is>
          <t>/gold-erp/pos</t>
        </is>
      </c>
      <c r="D25" s="56" t="inlineStr">
        <is>
          <t>ENTER</t>
        </is>
      </c>
      <c r="E25" s="50" t="inlineStr">
        <is>
          <t>Customer</t>
        </is>
      </c>
      <c r="F25" s="52" t="inlineStr">
        <is>
          <t>Meena Reddy — LY-00123</t>
        </is>
      </c>
      <c r="G25" s="52" t="inlineStr">
        <is>
          <t>Loyalty card auto-loads 500 points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Jewellery POS (Full)</t>
        </is>
      </c>
      <c r="C26" s="50" t="inlineStr">
        <is>
          <t>/gold-erp/pos</t>
        </is>
      </c>
      <c r="D26" s="51" t="inlineStr">
        <is>
          <t>ASSERT</t>
        </is>
      </c>
      <c r="E26" s="50" t="inlineStr">
        <is>
          <t>Points Balance</t>
        </is>
      </c>
      <c r="F26" s="52" t="inlineStr">
        <is>
          <t>500 points</t>
        </is>
      </c>
      <c r="G26" s="57" t="inlineStr">
        <is>
          <t>Existing loyalty balance shown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Jewellery POS (Full)</t>
        </is>
      </c>
      <c r="C27" s="50" t="inlineStr">
        <is>
          <t>/gold-erp/pos</t>
        </is>
      </c>
      <c r="D27" s="55" t="inlineStr">
        <is>
          <t>CLICK</t>
        </is>
      </c>
      <c r="E27" s="50" t="inlineStr">
        <is>
          <t>Add Old Gold Exchange</t>
        </is>
      </c>
      <c r="F27" s="52" t="inlineStr"/>
      <c r="G27" s="52" t="inlineStr">
        <is>
          <t>Old gold exchange section expands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Jewellery POS (Full)</t>
        </is>
      </c>
      <c r="C28" s="50" t="inlineStr">
        <is>
          <t>/gold-erp/pos</t>
        </is>
      </c>
      <c r="D28" s="56" t="inlineStr">
        <is>
          <t>ENTER</t>
        </is>
      </c>
      <c r="E28" s="50" t="inlineStr">
        <is>
          <t>Old Gold Description</t>
        </is>
      </c>
      <c r="F28" s="52" t="inlineStr">
        <is>
          <t>22K chain (customer's)</t>
        </is>
      </c>
      <c r="G28" s="52" t="inlineStr"/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Jewellery POS (Full)</t>
        </is>
      </c>
      <c r="C29" s="50" t="inlineStr">
        <is>
          <t>/gold-erp/pos</t>
        </is>
      </c>
      <c r="D29" s="56" t="inlineStr">
        <is>
          <t>ENTER</t>
        </is>
      </c>
      <c r="E29" s="50" t="inlineStr">
        <is>
          <t>Old Gold Gross Weight (gm)</t>
        </is>
      </c>
      <c r="F29" s="52" t="inlineStr">
        <is>
          <t>10.5</t>
        </is>
      </c>
      <c r="G29" s="52" t="inlineStr">
        <is>
          <t>Weighed on scale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Jewellery POS (Full)</t>
        </is>
      </c>
      <c r="C30" s="50" t="inlineStr">
        <is>
          <t>/gold-erp/pos</t>
        </is>
      </c>
      <c r="D30" s="56" t="inlineStr">
        <is>
          <t>ENTER</t>
        </is>
      </c>
      <c r="E30" s="50" t="inlineStr">
        <is>
          <t>Old Gold Purity (tested)</t>
        </is>
      </c>
      <c r="F30" s="52" t="inlineStr">
        <is>
          <t>22K</t>
        </is>
      </c>
      <c r="G30" s="52" t="inlineStr">
        <is>
          <t>Touchstone test result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Jewellery POS (Full)</t>
        </is>
      </c>
      <c r="C31" s="50" t="inlineStr">
        <is>
          <t>/gold-erp/pos</t>
        </is>
      </c>
      <c r="D31" s="56" t="inlineStr">
        <is>
          <t>ENTER</t>
        </is>
      </c>
      <c r="E31" s="50" t="inlineStr">
        <is>
          <t>Stone Weight Deduction (gm)</t>
        </is>
      </c>
      <c r="F31" s="52" t="inlineStr">
        <is>
          <t>0.5</t>
        </is>
      </c>
      <c r="G31" s="52" t="inlineStr"/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Jewellery POS (Full)</t>
        </is>
      </c>
      <c r="C32" s="50" t="inlineStr">
        <is>
          <t>/gold-erp/pos</t>
        </is>
      </c>
      <c r="D32" s="51" t="inlineStr">
        <is>
          <t>ASSERT</t>
        </is>
      </c>
      <c r="E32" s="50" t="inlineStr">
        <is>
          <t>Net Gold Weight (auto)</t>
        </is>
      </c>
      <c r="F32" s="52" t="inlineStr">
        <is>
          <t>10.0 gm</t>
        </is>
      </c>
      <c r="G32" s="57" t="inlineStr">
        <is>
          <t>10.5 − 0.5 = 10.0 gm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Jewellery POS (Full)</t>
        </is>
      </c>
      <c r="C33" s="50" t="inlineStr">
        <is>
          <t>/gold-erp/pos</t>
        </is>
      </c>
      <c r="D33" s="51" t="inlineStr">
        <is>
          <t>ASSERT</t>
        </is>
      </c>
      <c r="E33" s="50" t="inlineStr">
        <is>
          <t>Buyback Rate (auto)</t>
        </is>
      </c>
      <c r="F33" s="52" t="inlineStr">
        <is>
          <t>₹6,251/gm</t>
        </is>
      </c>
      <c r="G33" s="57" t="inlineStr">
        <is>
          <t>95% of ₹6,820 × 0.966 = buyback at 95% of 22K rate</t>
        </is>
      </c>
      <c r="H33" s="50" t="inlineStr"/>
      <c r="I33" s="53" t="inlineStr"/>
      <c r="J33" s="50" t="inlineStr">
        <is>
          <t>Verify: 6820 × 0.916 × 0.95</t>
        </is>
      </c>
    </row>
    <row r="34" ht="18" customHeight="1">
      <c r="A34" s="47" t="n">
        <v>30</v>
      </c>
      <c r="B34" s="50" t="inlineStr">
        <is>
          <t>Jewellery POS (Full)</t>
        </is>
      </c>
      <c r="C34" s="50" t="inlineStr">
        <is>
          <t>/gold-erp/pos</t>
        </is>
      </c>
      <c r="D34" s="51" t="inlineStr">
        <is>
          <t>ASSERT</t>
        </is>
      </c>
      <c r="E34" s="50" t="inlineStr">
        <is>
          <t>Old Gold Value (auto)</t>
        </is>
      </c>
      <c r="F34" s="52" t="inlineStr">
        <is>
          <t>₹62,510</t>
        </is>
      </c>
      <c r="G34" s="57" t="inlineStr">
        <is>
          <t>10.0 × ₹6,251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Jewellery POS (Full)</t>
        </is>
      </c>
      <c r="C35" s="50" t="inlineStr">
        <is>
          <t>/gold-erp/pos</t>
        </is>
      </c>
      <c r="D35" s="56" t="inlineStr">
        <is>
          <t>ENTER</t>
        </is>
      </c>
      <c r="E35" s="50" t="inlineStr">
        <is>
          <t>Loyalty Points to Redeem</t>
        </is>
      </c>
      <c r="F35" s="52" t="inlineStr">
        <is>
          <t>200</t>
        </is>
      </c>
      <c r="G35" s="52" t="inlineStr">
        <is>
          <t>Customer chooses to redeem 200 of 500 points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Jewellery POS (Full)</t>
        </is>
      </c>
      <c r="C36" s="50" t="inlineStr">
        <is>
          <t>/gold-erp/pos</t>
        </is>
      </c>
      <c r="D36" s="51" t="inlineStr">
        <is>
          <t>ASSERT</t>
        </is>
      </c>
      <c r="E36" s="50" t="inlineStr">
        <is>
          <t>Redemption Value (auto)</t>
        </is>
      </c>
      <c r="F36" s="52" t="inlineStr">
        <is>
          <t>₹200</t>
        </is>
      </c>
      <c r="G36" s="57" t="inlineStr">
        <is>
          <t>1 point = ₹1 (configured)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Jewellery POS (Full)</t>
        </is>
      </c>
      <c r="C37" s="50" t="inlineStr">
        <is>
          <t>/gold-erp/pos</t>
        </is>
      </c>
      <c r="D37" s="51" t="inlineStr">
        <is>
          <t>ASSERT</t>
        </is>
      </c>
      <c r="E37" s="50" t="inlineStr">
        <is>
          <t>Bill Subtotal</t>
        </is>
      </c>
      <c r="F37" s="52" t="inlineStr">
        <is>
          <t>₹1,08,102</t>
        </is>
      </c>
      <c r="G37" s="57" t="inlineStr">
        <is>
          <t>Gold + making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Jewellery POS (Full)</t>
        </is>
      </c>
      <c r="C38" s="50" t="inlineStr">
        <is>
          <t>/gold-erp/pos</t>
        </is>
      </c>
      <c r="D38" s="51" t="inlineStr">
        <is>
          <t>ASSERT</t>
        </is>
      </c>
      <c r="E38" s="50" t="inlineStr">
        <is>
          <t>GST (auto)</t>
        </is>
      </c>
      <c r="F38" s="52" t="inlineStr">
        <is>
          <t>₹3,371</t>
        </is>
      </c>
      <c r="G38" s="57" t="inlineStr">
        <is>
          <t>3% on gold + 5% on making</t>
        </is>
      </c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Jewellery POS (Full)</t>
        </is>
      </c>
      <c r="C39" s="50" t="inlineStr">
        <is>
          <t>/gold-erp/pos</t>
        </is>
      </c>
      <c r="D39" s="51" t="inlineStr">
        <is>
          <t>ASSERT</t>
        </is>
      </c>
      <c r="E39" s="50" t="inlineStr">
        <is>
          <t>Gross Total</t>
        </is>
      </c>
      <c r="F39" s="52" t="inlineStr">
        <is>
          <t>₹1,11,473</t>
        </is>
      </c>
      <c r="G39" s="57" t="inlineStr"/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Jewellery POS (Full)</t>
        </is>
      </c>
      <c r="C40" s="50" t="inlineStr">
        <is>
          <t>/gold-erp/pos</t>
        </is>
      </c>
      <c r="D40" s="51" t="inlineStr">
        <is>
          <t>ASSERT</t>
        </is>
      </c>
      <c r="E40" s="50" t="inlineStr">
        <is>
          <t>Less: Old Gold</t>
        </is>
      </c>
      <c r="F40" s="52" t="inlineStr">
        <is>
          <t>−₹62,510</t>
        </is>
      </c>
      <c r="G40" s="57" t="inlineStr"/>
      <c r="H40" s="50" t="inlineStr"/>
      <c r="I40" s="53" t="inlineStr"/>
      <c r="J40" s="50" t="inlineStr"/>
    </row>
    <row r="41" ht="18" customHeight="1">
      <c r="A41" s="47" t="n">
        <v>37</v>
      </c>
      <c r="B41" s="50" t="inlineStr">
        <is>
          <t>Jewellery POS (Full)</t>
        </is>
      </c>
      <c r="C41" s="50" t="inlineStr">
        <is>
          <t>/gold-erp/pos</t>
        </is>
      </c>
      <c r="D41" s="51" t="inlineStr">
        <is>
          <t>ASSERT</t>
        </is>
      </c>
      <c r="E41" s="50" t="inlineStr">
        <is>
          <t>Less: Loyalty Redemption</t>
        </is>
      </c>
      <c r="F41" s="52" t="inlineStr">
        <is>
          <t>−₹200</t>
        </is>
      </c>
      <c r="G41" s="57" t="inlineStr"/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Jewellery POS (Full)</t>
        </is>
      </c>
      <c r="C42" s="50" t="inlineStr">
        <is>
          <t>/gold-erp/pos</t>
        </is>
      </c>
      <c r="D42" s="51" t="inlineStr">
        <is>
          <t>ASSERT</t>
        </is>
      </c>
      <c r="E42" s="50" t="inlineStr">
        <is>
          <t>Net Payable (auto)</t>
        </is>
      </c>
      <c r="F42" s="52" t="inlineStr">
        <is>
          <t>₹48,763</t>
        </is>
      </c>
      <c r="G42" s="57" t="inlineStr">
        <is>
          <t>1,11,473 − 62,510 − 200 = ₹48,763</t>
        </is>
      </c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Jewellery POS (Full)</t>
        </is>
      </c>
      <c r="C43" s="50" t="inlineStr">
        <is>
          <t>/gold-erp/pos</t>
        </is>
      </c>
      <c r="D43" s="56" t="inlineStr">
        <is>
          <t>ENTER</t>
        </is>
      </c>
      <c r="E43" s="50" t="inlineStr">
        <is>
          <t>Cash</t>
        </is>
      </c>
      <c r="F43" s="52" t="inlineStr">
        <is>
          <t>₹10,000</t>
        </is>
      </c>
      <c r="G43" s="52" t="inlineStr">
        <is>
          <t>Split payment</t>
        </is>
      </c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Jewellery POS (Full)</t>
        </is>
      </c>
      <c r="C44" s="50" t="inlineStr">
        <is>
          <t>/gold-erp/pos</t>
        </is>
      </c>
      <c r="D44" s="56" t="inlineStr">
        <is>
          <t>ENTER</t>
        </is>
      </c>
      <c r="E44" s="50" t="inlineStr">
        <is>
          <t>UPI</t>
        </is>
      </c>
      <c r="F44" s="52" t="inlineStr">
        <is>
          <t>₹38,763</t>
        </is>
      </c>
      <c r="G44" s="52" t="inlineStr">
        <is>
          <t>Balance via UPI</t>
        </is>
      </c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Jewellery POS (Full)</t>
        </is>
      </c>
      <c r="C45" s="50" t="inlineStr">
        <is>
          <t>/gold-erp/pos</t>
        </is>
      </c>
      <c r="D45" s="51" t="inlineStr">
        <is>
          <t>ASSERT</t>
        </is>
      </c>
      <c r="E45" s="50" t="inlineStr">
        <is>
          <t>Payment balanced</t>
        </is>
      </c>
      <c r="F45" s="52" t="inlineStr">
        <is>
          <t>₹48,763 = ₹48,763</t>
        </is>
      </c>
      <c r="G45" s="57" t="inlineStr">
        <is>
          <t>No shortfall or excess</t>
        </is>
      </c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Jewellery POS (Full)</t>
        </is>
      </c>
      <c r="C46" s="50" t="inlineStr">
        <is>
          <t>/gold-erp/pos</t>
        </is>
      </c>
      <c r="D46" s="55" t="inlineStr">
        <is>
          <t>CLICK</t>
        </is>
      </c>
      <c r="E46" s="50" t="inlineStr">
        <is>
          <t>Print Bill + e-Invoice</t>
        </is>
      </c>
      <c r="F46" s="52" t="inlineStr"/>
      <c r="G46" s="52" t="inlineStr">
        <is>
          <t>GST invoice generated. WhatsApp copy sent to 9898989898.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Jewellery POS (Full)</t>
        </is>
      </c>
      <c r="C47" s="50" t="inlineStr">
        <is>
          <t>/gold-erp/pos</t>
        </is>
      </c>
      <c r="D47" s="51" t="inlineStr">
        <is>
          <t>ASSERT</t>
        </is>
      </c>
      <c r="E47" s="50" t="inlineStr">
        <is>
          <t>DT-0042 status in inventory</t>
        </is>
      </c>
      <c r="F47" s="52" t="inlineStr">
        <is>
          <t>Sold</t>
        </is>
      </c>
      <c r="G47" s="57" t="inlineStr">
        <is>
          <t>Item no longer available</t>
        </is>
      </c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Jewellery POS (Full)</t>
        </is>
      </c>
      <c r="C48" s="50" t="inlineStr">
        <is>
          <t>/gold-erp/pos</t>
        </is>
      </c>
      <c r="D48" s="51" t="inlineStr">
        <is>
          <t>ASSERT</t>
        </is>
      </c>
      <c r="E48" s="50" t="inlineStr">
        <is>
          <t>Loyalty points after sale</t>
        </is>
      </c>
      <c r="F48" s="52" t="inlineStr">
        <is>
          <t>372</t>
        </is>
      </c>
      <c r="G48" s="57" t="inlineStr">
        <is>
          <t>500 − 200 redeemed + 72 earned (₹7,200 making ÷ 100 × 1) = 372</t>
        </is>
      </c>
      <c r="H48" s="50" t="inlineStr"/>
      <c r="I48" s="53" t="inlineStr"/>
      <c r="J48" s="50" t="inlineStr">
        <is>
          <t>Verify earn + redeem logic</t>
        </is>
      </c>
    </row>
    <row r="49" ht="18" customHeight="1">
      <c r="A49" s="47" t="n">
        <v>45</v>
      </c>
      <c r="B49" s="50" t="inlineStr">
        <is>
          <t>Metal Ledger</t>
        </is>
      </c>
      <c r="C49" s="50" t="inlineStr">
        <is>
          <t>/gold-erp/metal-ledger</t>
        </is>
      </c>
      <c r="D49" s="51" t="inlineStr">
        <is>
          <t>ASSERT</t>
        </is>
      </c>
      <c r="E49" s="50" t="inlineStr">
        <is>
          <t>Old gold entry</t>
        </is>
      </c>
      <c r="F49" s="52" t="inlineStr">
        <is>
          <t>−10.0 gm (purchase)</t>
        </is>
      </c>
      <c r="G49" s="57" t="inlineStr">
        <is>
          <t>Old gold purchase creates entry in metal ledger</t>
        </is>
      </c>
      <c r="H49" s="50" t="inlineStr"/>
      <c r="I49" s="53" t="inlineStr"/>
      <c r="J49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3: Gold Chit Scheme: Setup → Enroll → Collect → Default → Redeem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Create scheme → enroll Lakshmi Devi → record 2 on-time + 1 late payment → defaulter log → maturity → gold purchase redemption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F3</t>
        </is>
      </c>
      <c r="C3" s="47" t="inlineStr">
        <is>
          <t>Steps</t>
        </is>
      </c>
      <c r="D3" s="48" t="n">
        <v>56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IF(I4="","—",TEXT(COUNTIF(I5:I200,"PASS")/COUNTA(I5:I200),"0%"))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Chit Schemes Setup</t>
        </is>
      </c>
      <c r="C5" s="50" t="inlineStr">
        <is>
          <t>/gold-erp/chit-schemes</t>
        </is>
      </c>
      <c r="D5" s="54" t="inlineStr">
        <is>
          <t>NAVIGATE</t>
        </is>
      </c>
      <c r="E5" s="50" t="inlineStr"/>
      <c r="F5" s="52" t="inlineStr"/>
      <c r="G5" s="52" t="inlineStr">
        <is>
          <t>Chit schemes list opens</t>
        </is>
      </c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Chit Schemes Setup</t>
        </is>
      </c>
      <c r="C6" s="50" t="inlineStr">
        <is>
          <t>/gold-erp/chit-schemes</t>
        </is>
      </c>
      <c r="D6" s="55" t="inlineStr">
        <is>
          <t>CLICK</t>
        </is>
      </c>
      <c r="E6" s="50" t="inlineStr">
        <is>
          <t>+ New Scheme</t>
        </is>
      </c>
      <c r="F6" s="52" t="inlineStr"/>
      <c r="G6" s="52" t="inlineStr">
        <is>
          <t>Scheme setup form opens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Chit Schemes Setup</t>
        </is>
      </c>
      <c r="C7" s="50" t="inlineStr">
        <is>
          <t>/gold-erp/chit-schemes</t>
        </is>
      </c>
      <c r="D7" s="56" t="inlineStr">
        <is>
          <t>ENTER</t>
        </is>
      </c>
      <c r="E7" s="50" t="inlineStr">
        <is>
          <t>Scheme Name</t>
        </is>
      </c>
      <c r="F7" s="52" t="inlineStr">
        <is>
          <t>Gold Savings 11+1</t>
        </is>
      </c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Chit Schemes Setup</t>
        </is>
      </c>
      <c r="C8" s="50" t="inlineStr">
        <is>
          <t>/gold-erp/chit-schemes</t>
        </is>
      </c>
      <c r="D8" s="56" t="inlineStr">
        <is>
          <t>ENTER</t>
        </is>
      </c>
      <c r="E8" s="50" t="inlineStr">
        <is>
          <t>Duration (months)</t>
        </is>
      </c>
      <c r="F8" s="52" t="inlineStr">
        <is>
          <t>12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Chit Schemes Setup</t>
        </is>
      </c>
      <c r="C9" s="50" t="inlineStr">
        <is>
          <t>/gold-erp/chit-schemes</t>
        </is>
      </c>
      <c r="D9" s="56" t="inlineStr">
        <is>
          <t>ENTER</t>
        </is>
      </c>
      <c r="E9" s="50" t="inlineStr">
        <is>
          <t>Monthly Instalment (₹)</t>
        </is>
      </c>
      <c r="F9" s="52" t="inlineStr">
        <is>
          <t>5000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Chit Schemes Setup</t>
        </is>
      </c>
      <c r="C10" s="50" t="inlineStr">
        <is>
          <t>/gold-erp/chit-schemes</t>
        </is>
      </c>
      <c r="D10" s="56" t="inlineStr">
        <is>
          <t>ENTER</t>
        </is>
      </c>
      <c r="E10" s="50" t="inlineStr">
        <is>
          <t>Bonus Type</t>
        </is>
      </c>
      <c r="F10" s="52" t="inlineStr">
        <is>
          <t>1 month free</t>
        </is>
      </c>
      <c r="G10" s="52" t="inlineStr">
        <is>
          <t>Dropdown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Chit Schemes Setup</t>
        </is>
      </c>
      <c r="C11" s="50" t="inlineStr">
        <is>
          <t>/gold-erp/chit-schemes</t>
        </is>
      </c>
      <c r="D11" s="56" t="inlineStr">
        <is>
          <t>ENTER</t>
        </is>
      </c>
      <c r="E11" s="50" t="inlineStr">
        <is>
          <t>Late Fee (₹)</t>
        </is>
      </c>
      <c r="F11" s="52" t="inlineStr">
        <is>
          <t>100</t>
        </is>
      </c>
      <c r="G11" s="52" t="inlineStr">
        <is>
          <t>Per late month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Chit Schemes Setup</t>
        </is>
      </c>
      <c r="C12" s="50" t="inlineStr">
        <is>
          <t>/gold-erp/chit-schemes</t>
        </is>
      </c>
      <c r="D12" s="56" t="inlineStr">
        <is>
          <t>ENTER</t>
        </is>
      </c>
      <c r="E12" s="50" t="inlineStr">
        <is>
          <t>Instalment Day of Month</t>
        </is>
      </c>
      <c r="F12" s="52" t="inlineStr">
        <is>
          <t>5</t>
        </is>
      </c>
      <c r="G12" s="52" t="inlineStr">
        <is>
          <t>Payment expected by 5th of each month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Chit Schemes Setup</t>
        </is>
      </c>
      <c r="C13" s="50" t="inlineStr">
        <is>
          <t>/gold-erp/chit-schemes</t>
        </is>
      </c>
      <c r="D13" s="51" t="inlineStr">
        <is>
          <t>ASSERT</t>
        </is>
      </c>
      <c r="E13" s="50" t="inlineStr">
        <is>
          <t>Total Maturity Value (auto)</t>
        </is>
      </c>
      <c r="F13" s="52" t="inlineStr">
        <is>
          <t>₹60,000</t>
        </is>
      </c>
      <c r="G13" s="57" t="inlineStr">
        <is>
          <t>11 × ₹5,000 + 1 bonus month ₹5,000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Chit Schemes Setup</t>
        </is>
      </c>
      <c r="C14" s="50" t="inlineStr">
        <is>
          <t>/gold-erp/chit-schemes</t>
        </is>
      </c>
      <c r="D14" s="55" t="inlineStr">
        <is>
          <t>CLICK</t>
        </is>
      </c>
      <c r="E14" s="50" t="inlineStr">
        <is>
          <t>Save Scheme</t>
        </is>
      </c>
      <c r="F14" s="52" t="inlineStr"/>
      <c r="G14" s="52" t="inlineStr">
        <is>
          <t>Scheme SCH-001 created and active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Chit Schemes Setup</t>
        </is>
      </c>
      <c r="C15" s="50" t="inlineStr">
        <is>
          <t>/gold-erp/chit-schemes</t>
        </is>
      </c>
      <c r="D15" s="55" t="inlineStr">
        <is>
          <t>CLICK</t>
        </is>
      </c>
      <c r="E15" s="50" t="inlineStr">
        <is>
          <t>Enroll Member (SCH-001)</t>
        </is>
      </c>
      <c r="F15" s="52" t="inlineStr"/>
      <c r="G15" s="52" t="inlineStr">
        <is>
          <t>Member enrollment form opens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Chit Schemes Setup</t>
        </is>
      </c>
      <c r="C16" s="50" t="inlineStr">
        <is>
          <t>/gold-erp/chit-schemes</t>
        </is>
      </c>
      <c r="D16" s="56" t="inlineStr">
        <is>
          <t>ENTER</t>
        </is>
      </c>
      <c r="E16" s="50" t="inlineStr">
        <is>
          <t>Member Name</t>
        </is>
      </c>
      <c r="F16" s="52" t="inlineStr">
        <is>
          <t>Lakshmi Devi</t>
        </is>
      </c>
      <c r="G16" s="52" t="inlineStr"/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Chit Schemes Setup</t>
        </is>
      </c>
      <c r="C17" s="50" t="inlineStr">
        <is>
          <t>/gold-erp/chit-schemes</t>
        </is>
      </c>
      <c r="D17" s="56" t="inlineStr">
        <is>
          <t>ENTER</t>
        </is>
      </c>
      <c r="E17" s="50" t="inlineStr">
        <is>
          <t>Mobile</t>
        </is>
      </c>
      <c r="F17" s="52" t="inlineStr">
        <is>
          <t>9123456789</t>
        </is>
      </c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Chit Schemes Setup</t>
        </is>
      </c>
      <c r="C18" s="50" t="inlineStr">
        <is>
          <t>/gold-erp/chit-schemes</t>
        </is>
      </c>
      <c r="D18" s="56" t="inlineStr">
        <is>
          <t>ENTER</t>
        </is>
      </c>
      <c r="E18" s="50" t="inlineStr">
        <is>
          <t>Aadhaar No</t>
        </is>
      </c>
      <c r="F18" s="52" t="inlineStr">
        <is>
          <t>1234 5678 9012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Chit Schemes Setup</t>
        </is>
      </c>
      <c r="C19" s="50" t="inlineStr">
        <is>
          <t>/gold-erp/chit-schemes</t>
        </is>
      </c>
      <c r="D19" s="56" t="inlineStr">
        <is>
          <t>ENTER</t>
        </is>
      </c>
      <c r="E19" s="50" t="inlineStr">
        <is>
          <t>Nominee Name</t>
        </is>
      </c>
      <c r="F19" s="52" t="inlineStr">
        <is>
          <t>Suresh Devi</t>
        </is>
      </c>
      <c r="G19" s="52" t="inlineStr"/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Chit Schemes Setup</t>
        </is>
      </c>
      <c r="C20" s="50" t="inlineStr">
        <is>
          <t>/gold-erp/chit-schemes</t>
        </is>
      </c>
      <c r="D20" s="56" t="inlineStr">
        <is>
          <t>ENTER</t>
        </is>
      </c>
      <c r="E20" s="50" t="inlineStr">
        <is>
          <t>Nominee Relation</t>
        </is>
      </c>
      <c r="F20" s="52" t="inlineStr">
        <is>
          <t>Husband</t>
        </is>
      </c>
      <c r="G20" s="52" t="inlineStr"/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Chit Schemes Setup</t>
        </is>
      </c>
      <c r="C21" s="50" t="inlineStr">
        <is>
          <t>/gold-erp/chit-schemes</t>
        </is>
      </c>
      <c r="D21" s="56" t="inlineStr">
        <is>
          <t>ENTER</t>
        </is>
      </c>
      <c r="E21" s="50" t="inlineStr">
        <is>
          <t>Bank Account</t>
        </is>
      </c>
      <c r="F21" s="52" t="inlineStr">
        <is>
          <t>1234567890 / SBIN0001234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Chit Schemes Setup</t>
        </is>
      </c>
      <c r="C22" s="50" t="inlineStr">
        <is>
          <t>/gold-erp/chit-schemes</t>
        </is>
      </c>
      <c r="D22" s="56" t="inlineStr">
        <is>
          <t>ENTER</t>
        </is>
      </c>
      <c r="E22" s="50" t="inlineStr">
        <is>
          <t>Start Date</t>
        </is>
      </c>
      <c r="F22" s="52" t="inlineStr">
        <is>
          <t>01-Jan-2024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Chit Schemes Setup</t>
        </is>
      </c>
      <c r="C23" s="50" t="inlineStr">
        <is>
          <t>/gold-erp/chit-schemes</t>
        </is>
      </c>
      <c r="D23" s="55" t="inlineStr">
        <is>
          <t>CLICK</t>
        </is>
      </c>
      <c r="E23" s="50" t="inlineStr">
        <is>
          <t>Enroll</t>
        </is>
      </c>
      <c r="F23" s="52" t="inlineStr"/>
      <c r="G23" s="52" t="inlineStr">
        <is>
          <t>Member MBR-001 enrolled. WhatsApp welcome message sent.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Chit Schemes Setup</t>
        </is>
      </c>
      <c r="C24" s="50" t="inlineStr">
        <is>
          <t>/gold-erp/chit-schemes</t>
        </is>
      </c>
      <c r="D24" s="51" t="inlineStr">
        <is>
          <t>ASSERT</t>
        </is>
      </c>
      <c r="E24" s="50" t="inlineStr">
        <is>
          <t>Maturity Date (auto)</t>
        </is>
      </c>
      <c r="F24" s="52" t="inlineStr">
        <is>
          <t>31-Dec-2024</t>
        </is>
      </c>
      <c r="G24" s="57" t="inlineStr">
        <is>
          <t>Start + 12 months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Chit Collection Register</t>
        </is>
      </c>
      <c r="C25" s="50" t="inlineStr">
        <is>
          <t>/gold-erp/chit-collection</t>
        </is>
      </c>
      <c r="D25" s="54" t="inlineStr">
        <is>
          <t>NAVIGATE</t>
        </is>
      </c>
      <c r="E25" s="50" t="inlineStr"/>
      <c r="F25" s="52" t="inlineStr"/>
      <c r="G25" s="52" t="inlineStr">
        <is>
          <t>Chit collection screen. Shows SCH-001 members.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Chit Collection Register</t>
        </is>
      </c>
      <c r="C26" s="50" t="inlineStr">
        <is>
          <t>/gold-erp/chit-collection</t>
        </is>
      </c>
      <c r="D26" s="55" t="inlineStr">
        <is>
          <t>CLICK</t>
        </is>
      </c>
      <c r="E26" s="50" t="inlineStr">
        <is>
          <t>Record Payment — MBR-001 Month 1</t>
        </is>
      </c>
      <c r="F26" s="52" t="inlineStr"/>
      <c r="G26" s="52" t="inlineStr">
        <is>
          <t>Payment entry form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Chit Collection Register</t>
        </is>
      </c>
      <c r="C27" s="50" t="inlineStr">
        <is>
          <t>/gold-erp/chit-collection</t>
        </is>
      </c>
      <c r="D27" s="56" t="inlineStr">
        <is>
          <t>ENTER</t>
        </is>
      </c>
      <c r="E27" s="50" t="inlineStr">
        <is>
          <t>Amount (₹)</t>
        </is>
      </c>
      <c r="F27" s="52" t="inlineStr">
        <is>
          <t>5000</t>
        </is>
      </c>
      <c r="G27" s="52" t="inlineStr"/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Chit Collection Register</t>
        </is>
      </c>
      <c r="C28" s="50" t="inlineStr">
        <is>
          <t>/gold-erp/chit-collection</t>
        </is>
      </c>
      <c r="D28" s="56" t="inlineStr">
        <is>
          <t>ENTER</t>
        </is>
      </c>
      <c r="E28" s="50" t="inlineStr">
        <is>
          <t>Payment Date</t>
        </is>
      </c>
      <c r="F28" s="52" t="inlineStr">
        <is>
          <t>05-Jan-2024</t>
        </is>
      </c>
      <c r="G28" s="52" t="inlineStr">
        <is>
          <t>On time (= 5th)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Chit Collection Register</t>
        </is>
      </c>
      <c r="C29" s="50" t="inlineStr">
        <is>
          <t>/gold-erp/chit-collection</t>
        </is>
      </c>
      <c r="D29" s="56" t="inlineStr">
        <is>
          <t>ENTER</t>
        </is>
      </c>
      <c r="E29" s="50" t="inlineStr">
        <is>
          <t>Mode</t>
        </is>
      </c>
      <c r="F29" s="52" t="inlineStr">
        <is>
          <t>Cash</t>
        </is>
      </c>
      <c r="G29" s="52" t="inlineStr"/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Chit Collection Register</t>
        </is>
      </c>
      <c r="C30" s="50" t="inlineStr">
        <is>
          <t>/gold-erp/chit-collection</t>
        </is>
      </c>
      <c r="D30" s="55" t="inlineStr">
        <is>
          <t>CLICK</t>
        </is>
      </c>
      <c r="E30" s="50" t="inlineStr">
        <is>
          <t>Save</t>
        </is>
      </c>
      <c r="F30" s="52" t="inlineStr"/>
      <c r="G30" s="52" t="inlineStr">
        <is>
          <t>Month 1: PAID. Receipt generated.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Chit Collection Register</t>
        </is>
      </c>
      <c r="C31" s="50" t="inlineStr">
        <is>
          <t>/gold-erp/chit-collection</t>
        </is>
      </c>
      <c r="D31" s="51" t="inlineStr">
        <is>
          <t>ASSERT</t>
        </is>
      </c>
      <c r="E31" s="50" t="inlineStr">
        <is>
          <t>Receipt sent</t>
        </is>
      </c>
      <c r="F31" s="52" t="inlineStr">
        <is>
          <t>WhatsApp to 9123456789</t>
        </is>
      </c>
      <c r="G31" s="57" t="inlineStr">
        <is>
          <t>Payment receipt sent automatically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Chit Collection Register</t>
        </is>
      </c>
      <c r="C32" s="50" t="inlineStr">
        <is>
          <t>/gold-erp/chit-collection</t>
        </is>
      </c>
      <c r="D32" s="55" t="inlineStr">
        <is>
          <t>CLICK</t>
        </is>
      </c>
      <c r="E32" s="50" t="inlineStr">
        <is>
          <t>Record Payment — MBR-001 Month 2</t>
        </is>
      </c>
      <c r="F32" s="52" t="inlineStr"/>
      <c r="G32" s="52" t="inlineStr"/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Chit Collection Register</t>
        </is>
      </c>
      <c r="C33" s="50" t="inlineStr">
        <is>
          <t>/gold-erp/chit-collection</t>
        </is>
      </c>
      <c r="D33" s="56" t="inlineStr">
        <is>
          <t>ENTER</t>
        </is>
      </c>
      <c r="E33" s="50" t="inlineStr">
        <is>
          <t>Amount</t>
        </is>
      </c>
      <c r="F33" s="52" t="inlineStr">
        <is>
          <t>5000</t>
        </is>
      </c>
      <c r="G33" s="52" t="inlineStr"/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Chit Collection Register</t>
        </is>
      </c>
      <c r="C34" s="50" t="inlineStr">
        <is>
          <t>/gold-erp/chit-collection</t>
        </is>
      </c>
      <c r="D34" s="56" t="inlineStr">
        <is>
          <t>ENTER</t>
        </is>
      </c>
      <c r="E34" s="50" t="inlineStr">
        <is>
          <t>Payment Date</t>
        </is>
      </c>
      <c r="F34" s="52" t="inlineStr">
        <is>
          <t>05-Feb-2024</t>
        </is>
      </c>
      <c r="G34" s="52" t="inlineStr">
        <is>
          <t>On time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Chit Collection Register</t>
        </is>
      </c>
      <c r="C35" s="50" t="inlineStr">
        <is>
          <t>/gold-erp/chit-collection</t>
        </is>
      </c>
      <c r="D35" s="55" t="inlineStr">
        <is>
          <t>CLICK</t>
        </is>
      </c>
      <c r="E35" s="50" t="inlineStr">
        <is>
          <t>Save</t>
        </is>
      </c>
      <c r="F35" s="52" t="inlineStr"/>
      <c r="G35" s="52" t="inlineStr">
        <is>
          <t>Month 2: PAID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Chit Collection Register</t>
        </is>
      </c>
      <c r="C36" s="50" t="inlineStr">
        <is>
          <t>/gold-erp/chit-collection</t>
        </is>
      </c>
      <c r="D36" s="58" t="inlineStr">
        <is>
          <t>NOTE</t>
        </is>
      </c>
      <c r="E36" s="50" t="inlineStr">
        <is>
          <t>Month 3 — simulate LATE payment</t>
        </is>
      </c>
      <c r="F36" s="52" t="inlineStr"/>
      <c r="G36" s="52" t="inlineStr">
        <is>
          <t>Skip month 3 payment. Wait for defaulter flag.</t>
        </is>
      </c>
      <c r="H36" s="50" t="inlineStr"/>
      <c r="I36" s="53" t="inlineStr"/>
      <c r="J36" s="50" t="inlineStr">
        <is>
          <t>Test defaulter logic</t>
        </is>
      </c>
    </row>
    <row r="37" ht="18" customHeight="1">
      <c r="A37" s="47" t="n">
        <v>33</v>
      </c>
      <c r="B37" s="50" t="inlineStr">
        <is>
          <t>Chit Defaulters</t>
        </is>
      </c>
      <c r="C37" s="50" t="inlineStr">
        <is>
          <t>/gold-erp/chit-defaulters</t>
        </is>
      </c>
      <c r="D37" s="54" t="inlineStr">
        <is>
          <t>NAVIGATE</t>
        </is>
      </c>
      <c r="E37" s="50" t="inlineStr"/>
      <c r="F37" s="52" t="inlineStr"/>
      <c r="G37" s="52" t="inlineStr">
        <is>
          <t>Defaulters list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Chit Defaulters</t>
        </is>
      </c>
      <c r="C38" s="50" t="inlineStr">
        <is>
          <t>/gold-erp/chit-defaulters</t>
        </is>
      </c>
      <c r="D38" s="51" t="inlineStr">
        <is>
          <t>ASSERT</t>
        </is>
      </c>
      <c r="E38" s="50" t="inlineStr">
        <is>
          <t>Lakshmi Devi in defaulters</t>
        </is>
      </c>
      <c r="F38" s="52" t="inlineStr">
        <is>
          <t>Month 3 overdue</t>
        </is>
      </c>
      <c r="G38" s="57" t="inlineStr">
        <is>
          <t>Shows after 5th of March with no payment</t>
        </is>
      </c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Chit Defaulters</t>
        </is>
      </c>
      <c r="C39" s="50" t="inlineStr">
        <is>
          <t>/gold-erp/chit-defaulters</t>
        </is>
      </c>
      <c r="D39" s="51" t="inlineStr">
        <is>
          <t>ASSERT</t>
        </is>
      </c>
      <c r="E39" s="50" t="inlineStr">
        <is>
          <t>Days overdue</t>
        </is>
      </c>
      <c r="F39" s="52" t="inlineStr">
        <is>
          <t>10+ days</t>
        </is>
      </c>
      <c r="G39" s="57" t="inlineStr">
        <is>
          <t>If tested on 15-Mar-2024 = 10 days overdue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Chit Defaulters</t>
        </is>
      </c>
      <c r="C40" s="50" t="inlineStr">
        <is>
          <t>/gold-erp/chit-defaulters</t>
        </is>
      </c>
      <c r="D40" s="55" t="inlineStr">
        <is>
          <t>CLICK</t>
        </is>
      </c>
      <c r="E40" s="50" t="inlineStr">
        <is>
          <t>Log Follow-up Call — Lakshmi Devi</t>
        </is>
      </c>
      <c r="F40" s="52" t="inlineStr"/>
      <c r="G40" s="52" t="inlineStr">
        <is>
          <t>Follow-up log form</t>
        </is>
      </c>
      <c r="H40" s="50" t="inlineStr"/>
      <c r="I40" s="53" t="inlineStr"/>
      <c r="J40" s="50" t="inlineStr"/>
    </row>
    <row r="41" ht="18" customHeight="1">
      <c r="A41" s="47" t="n">
        <v>37</v>
      </c>
      <c r="B41" s="50" t="inlineStr">
        <is>
          <t>Chit Defaulters</t>
        </is>
      </c>
      <c r="C41" s="50" t="inlineStr">
        <is>
          <t>/gold-erp/chit-defaulters</t>
        </is>
      </c>
      <c r="D41" s="56" t="inlineStr">
        <is>
          <t>ENTER</t>
        </is>
      </c>
      <c r="E41" s="50" t="inlineStr">
        <is>
          <t>Action</t>
        </is>
      </c>
      <c r="F41" s="52" t="inlineStr">
        <is>
          <t>Called customer</t>
        </is>
      </c>
      <c r="G41" s="52" t="inlineStr"/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Chit Defaulters</t>
        </is>
      </c>
      <c r="C42" s="50" t="inlineStr">
        <is>
          <t>/gold-erp/chit-defaulters</t>
        </is>
      </c>
      <c r="D42" s="56" t="inlineStr">
        <is>
          <t>ENTER</t>
        </is>
      </c>
      <c r="E42" s="50" t="inlineStr">
        <is>
          <t>Response</t>
        </is>
      </c>
      <c r="F42" s="52" t="inlineStr">
        <is>
          <t>Will pay by 20th March</t>
        </is>
      </c>
      <c r="G42" s="52" t="inlineStr"/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Chit Defaulters</t>
        </is>
      </c>
      <c r="C43" s="50" t="inlineStr">
        <is>
          <t>/gold-erp/chit-defaulters</t>
        </is>
      </c>
      <c r="D43" s="55" t="inlineStr">
        <is>
          <t>CLICK</t>
        </is>
      </c>
      <c r="E43" s="50" t="inlineStr">
        <is>
          <t>Save Follow-up</t>
        </is>
      </c>
      <c r="F43" s="52" t="inlineStr"/>
      <c r="G43" s="52" t="inlineStr">
        <is>
          <t>Follow-up logged with date/time</t>
        </is>
      </c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Chit Collection Register</t>
        </is>
      </c>
      <c r="C44" s="50" t="inlineStr">
        <is>
          <t>/gold-erp/chit-collection</t>
        </is>
      </c>
      <c r="D44" s="55" t="inlineStr">
        <is>
          <t>CLICK</t>
        </is>
      </c>
      <c r="E44" s="50" t="inlineStr">
        <is>
          <t>Record Late Payment — MBR-001 Month 3</t>
        </is>
      </c>
      <c r="F44" s="52" t="inlineStr"/>
      <c r="G44" s="52" t="inlineStr"/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Chit Collection Register</t>
        </is>
      </c>
      <c r="C45" s="50" t="inlineStr">
        <is>
          <t>/gold-erp/chit-collection</t>
        </is>
      </c>
      <c r="D45" s="56" t="inlineStr">
        <is>
          <t>ENTER</t>
        </is>
      </c>
      <c r="E45" s="50" t="inlineStr">
        <is>
          <t>Amount</t>
        </is>
      </c>
      <c r="F45" s="52" t="inlineStr">
        <is>
          <t>5000</t>
        </is>
      </c>
      <c r="G45" s="52" t="inlineStr"/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Chit Collection Register</t>
        </is>
      </c>
      <c r="C46" s="50" t="inlineStr">
        <is>
          <t>/gold-erp/chit-collection</t>
        </is>
      </c>
      <c r="D46" s="56" t="inlineStr">
        <is>
          <t>ENTER</t>
        </is>
      </c>
      <c r="E46" s="50" t="inlineStr">
        <is>
          <t>Payment Date</t>
        </is>
      </c>
      <c r="F46" s="52" t="inlineStr">
        <is>
          <t>18-Mar-2024</t>
        </is>
      </c>
      <c r="G46" s="52" t="inlineStr">
        <is>
          <t>13 days late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Chit Collection Register</t>
        </is>
      </c>
      <c r="C47" s="50" t="inlineStr">
        <is>
          <t>/gold-erp/chit-collection</t>
        </is>
      </c>
      <c r="D47" s="51" t="inlineStr">
        <is>
          <t>ASSERT</t>
        </is>
      </c>
      <c r="E47" s="50" t="inlineStr">
        <is>
          <t>Late Fee (auto)</t>
        </is>
      </c>
      <c r="F47" s="52" t="inlineStr">
        <is>
          <t>₹100</t>
        </is>
      </c>
      <c r="G47" s="57" t="inlineStr">
        <is>
          <t>Configured late fee added automatically</t>
        </is>
      </c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Chit Collection Register</t>
        </is>
      </c>
      <c r="C48" s="50" t="inlineStr">
        <is>
          <t>/gold-erp/chit-collection</t>
        </is>
      </c>
      <c r="D48" s="56" t="inlineStr">
        <is>
          <t>ENTER</t>
        </is>
      </c>
      <c r="E48" s="50" t="inlineStr">
        <is>
          <t>Total Collected</t>
        </is>
      </c>
      <c r="F48" s="52" t="inlineStr">
        <is>
          <t>5100</t>
        </is>
      </c>
      <c r="G48" s="52" t="inlineStr">
        <is>
          <t>₹5,000 + ₹100 late fee</t>
        </is>
      </c>
      <c r="H48" s="50" t="inlineStr"/>
      <c r="I48" s="53" t="inlineStr"/>
      <c r="J48" s="50" t="inlineStr"/>
    </row>
    <row r="49" ht="18" customHeight="1">
      <c r="A49" s="47" t="n">
        <v>45</v>
      </c>
      <c r="B49" s="50" t="inlineStr">
        <is>
          <t>Chit Collection Register</t>
        </is>
      </c>
      <c r="C49" s="50" t="inlineStr">
        <is>
          <t>/gold-erp/chit-collection</t>
        </is>
      </c>
      <c r="D49" s="55" t="inlineStr">
        <is>
          <t>CLICK</t>
        </is>
      </c>
      <c r="E49" s="50" t="inlineStr">
        <is>
          <t>Save</t>
        </is>
      </c>
      <c r="F49" s="52" t="inlineStr"/>
      <c r="G49" s="52" t="inlineStr">
        <is>
          <t>Month 3: PAID (LATE). Removed from defaulters list.</t>
        </is>
      </c>
      <c r="H49" s="50" t="inlineStr"/>
      <c r="I49" s="53" t="inlineStr"/>
      <c r="J49" s="50" t="inlineStr"/>
    </row>
    <row r="50" ht="18" customHeight="1">
      <c r="A50" s="47" t="n">
        <v>46</v>
      </c>
      <c r="B50" s="50" t="inlineStr">
        <is>
          <t>Chit Maturity</t>
        </is>
      </c>
      <c r="C50" s="50" t="inlineStr">
        <is>
          <t>/gold-erp/chit-maturity</t>
        </is>
      </c>
      <c r="D50" s="54" t="inlineStr">
        <is>
          <t>NAVIGATE</t>
        </is>
      </c>
      <c r="E50" s="50" t="inlineStr"/>
      <c r="F50" s="52" t="inlineStr"/>
      <c r="G50" s="52" t="inlineStr">
        <is>
          <t>Maturing schemes list</t>
        </is>
      </c>
      <c r="H50" s="50" t="inlineStr"/>
      <c r="I50" s="53" t="inlineStr"/>
      <c r="J50" s="50" t="inlineStr">
        <is>
          <t>Simulate months 4-11 paid, now at maturity</t>
        </is>
      </c>
    </row>
    <row r="51" ht="18" customHeight="1">
      <c r="A51" s="47" t="n">
        <v>47</v>
      </c>
      <c r="B51" s="50" t="inlineStr">
        <is>
          <t>Chit Maturity</t>
        </is>
      </c>
      <c r="C51" s="50" t="inlineStr">
        <is>
          <t>/gold-erp/chit-maturity</t>
        </is>
      </c>
      <c r="D51" s="51" t="inlineStr">
        <is>
          <t>ASSERT</t>
        </is>
      </c>
      <c r="E51" s="50" t="inlineStr">
        <is>
          <t>Lakshmi Devi maturity</t>
        </is>
      </c>
      <c r="F51" s="52" t="inlineStr">
        <is>
          <t>₹60,000</t>
        </is>
      </c>
      <c r="G51" s="57" t="inlineStr">
        <is>
          <t>Total maturity = 11 × 5,000 + 5,000 bonus</t>
        </is>
      </c>
      <c r="H51" s="50" t="inlineStr"/>
      <c r="I51" s="53" t="inlineStr"/>
      <c r="J51" s="50" t="inlineStr"/>
    </row>
    <row r="52" ht="18" customHeight="1">
      <c r="A52" s="47" t="n">
        <v>48</v>
      </c>
      <c r="B52" s="50" t="inlineStr">
        <is>
          <t>Chit Maturity</t>
        </is>
      </c>
      <c r="C52" s="50" t="inlineStr">
        <is>
          <t>/gold-erp/chit-maturity</t>
        </is>
      </c>
      <c r="D52" s="51" t="inlineStr">
        <is>
          <t>ASSERT</t>
        </is>
      </c>
      <c r="E52" s="50" t="inlineStr">
        <is>
          <t>Reminder sent</t>
        </is>
      </c>
      <c r="F52" s="52" t="inlineStr">
        <is>
          <t>WhatsApp to 9123456789</t>
        </is>
      </c>
      <c r="G52" s="57" t="inlineStr">
        <is>
          <t>Auto-reminder sent 30 days before maturity</t>
        </is>
      </c>
      <c r="H52" s="50" t="inlineStr"/>
      <c r="I52" s="53" t="inlineStr"/>
      <c r="J52" s="50" t="inlineStr"/>
    </row>
    <row r="53" ht="18" customHeight="1">
      <c r="A53" s="47" t="n">
        <v>49</v>
      </c>
      <c r="B53" s="50" t="inlineStr">
        <is>
          <t>Chit Redemptions</t>
        </is>
      </c>
      <c r="C53" s="50" t="inlineStr">
        <is>
          <t>/gold-erp/chit-redemptions</t>
        </is>
      </c>
      <c r="D53" s="54" t="inlineStr">
        <is>
          <t>NAVIGATE</t>
        </is>
      </c>
      <c r="E53" s="50" t="inlineStr"/>
      <c r="F53" s="52" t="inlineStr"/>
      <c r="G53" s="52" t="inlineStr">
        <is>
          <t>Redemptions screen</t>
        </is>
      </c>
      <c r="H53" s="50" t="inlineStr"/>
      <c r="I53" s="53" t="inlineStr"/>
      <c r="J53" s="50" t="inlineStr"/>
    </row>
    <row r="54" ht="18" customHeight="1">
      <c r="A54" s="47" t="n">
        <v>50</v>
      </c>
      <c r="B54" s="50" t="inlineStr">
        <is>
          <t>Chit Redemptions</t>
        </is>
      </c>
      <c r="C54" s="50" t="inlineStr">
        <is>
          <t>/gold-erp/chit-redemptions</t>
        </is>
      </c>
      <c r="D54" s="55" t="inlineStr">
        <is>
          <t>CLICK</t>
        </is>
      </c>
      <c r="E54" s="50" t="inlineStr">
        <is>
          <t>Process Redemption — MBR-001</t>
        </is>
      </c>
      <c r="F54" s="52" t="inlineStr"/>
      <c r="G54" s="52" t="inlineStr"/>
      <c r="H54" s="50" t="inlineStr"/>
      <c r="I54" s="53" t="inlineStr"/>
      <c r="J54" s="50" t="inlineStr"/>
    </row>
    <row r="55" ht="18" customHeight="1">
      <c r="A55" s="47" t="n">
        <v>51</v>
      </c>
      <c r="B55" s="50" t="inlineStr">
        <is>
          <t>Chit Redemptions</t>
        </is>
      </c>
      <c r="C55" s="50" t="inlineStr">
        <is>
          <t>/gold-erp/chit-redemptions</t>
        </is>
      </c>
      <c r="D55" s="56" t="inlineStr">
        <is>
          <t>ENTER</t>
        </is>
      </c>
      <c r="E55" s="50" t="inlineStr">
        <is>
          <t>Redemption Type</t>
        </is>
      </c>
      <c r="F55" s="52" t="inlineStr">
        <is>
          <t>Gold Purchase</t>
        </is>
      </c>
      <c r="G55" s="52" t="inlineStr">
        <is>
          <t>Customer wants to buy jewellery</t>
        </is>
      </c>
      <c r="H55" s="50" t="inlineStr"/>
      <c r="I55" s="53" t="inlineStr"/>
      <c r="J55" s="50" t="inlineStr"/>
    </row>
    <row r="56" ht="18" customHeight="1">
      <c r="A56" s="47" t="n">
        <v>52</v>
      </c>
      <c r="B56" s="50" t="inlineStr">
        <is>
          <t>Chit Redemptions</t>
        </is>
      </c>
      <c r="C56" s="50" t="inlineStr">
        <is>
          <t>/gold-erp/chit-redemptions</t>
        </is>
      </c>
      <c r="D56" s="56" t="inlineStr">
        <is>
          <t>ENTER</t>
        </is>
      </c>
      <c r="E56" s="50" t="inlineStr">
        <is>
          <t>Item Selected</t>
        </is>
      </c>
      <c r="F56" s="52" t="inlineStr">
        <is>
          <t>DT-0043 — 22K Bangles ₹1,43,690</t>
        </is>
      </c>
      <c r="G56" s="52" t="inlineStr">
        <is>
          <t>Customer selects from showcase</t>
        </is>
      </c>
      <c r="H56" s="50" t="inlineStr"/>
      <c r="I56" s="53" t="inlineStr"/>
      <c r="J56" s="50" t="inlineStr"/>
    </row>
    <row r="57" ht="18" customHeight="1">
      <c r="A57" s="47" t="n">
        <v>53</v>
      </c>
      <c r="B57" s="50" t="inlineStr">
        <is>
          <t>Chit Redemptions</t>
        </is>
      </c>
      <c r="C57" s="50" t="inlineStr">
        <is>
          <t>/gold-erp/chit-redemptions</t>
        </is>
      </c>
      <c r="D57" s="51" t="inlineStr">
        <is>
          <t>ASSERT</t>
        </is>
      </c>
      <c r="E57" s="50" t="inlineStr">
        <is>
          <t>Maturity Amount Applied</t>
        </is>
      </c>
      <c r="F57" s="52" t="inlineStr">
        <is>
          <t>₹60,000</t>
        </is>
      </c>
      <c r="G57" s="57" t="inlineStr">
        <is>
          <t>Adjusted against purchase</t>
        </is>
      </c>
      <c r="H57" s="50" t="inlineStr"/>
      <c r="I57" s="53" t="inlineStr"/>
      <c r="J57" s="50" t="inlineStr"/>
    </row>
    <row r="58" ht="18" customHeight="1">
      <c r="A58" s="47" t="n">
        <v>54</v>
      </c>
      <c r="B58" s="50" t="inlineStr">
        <is>
          <t>Chit Redemptions</t>
        </is>
      </c>
      <c r="C58" s="50" t="inlineStr">
        <is>
          <t>/gold-erp/chit-redemptions</t>
        </is>
      </c>
      <c r="D58" s="51" t="inlineStr">
        <is>
          <t>ASSERT</t>
        </is>
      </c>
      <c r="E58" s="50" t="inlineStr">
        <is>
          <t>Balance Payable</t>
        </is>
      </c>
      <c r="F58" s="52" t="inlineStr">
        <is>
          <t>₹83,690</t>
        </is>
      </c>
      <c r="G58" s="57" t="inlineStr">
        <is>
          <t>₹1,43,690 − ₹60,000</t>
        </is>
      </c>
      <c r="H58" s="50" t="inlineStr"/>
      <c r="I58" s="53" t="inlineStr"/>
      <c r="J58" s="50" t="inlineStr"/>
    </row>
    <row r="59" ht="18" customHeight="1">
      <c r="A59" s="47" t="n">
        <v>55</v>
      </c>
      <c r="B59" s="50" t="inlineStr">
        <is>
          <t>Chit Redemptions</t>
        </is>
      </c>
      <c r="C59" s="50" t="inlineStr">
        <is>
          <t>/gold-erp/chit-redemptions</t>
        </is>
      </c>
      <c r="D59" s="55" t="inlineStr">
        <is>
          <t>CLICK</t>
        </is>
      </c>
      <c r="E59" s="50" t="inlineStr">
        <is>
          <t>Process &amp; Generate Invoice</t>
        </is>
      </c>
      <c r="F59" s="52" t="inlineStr"/>
      <c r="G59" s="52" t="inlineStr">
        <is>
          <t>Invoice created. Scheme closed. Member status = Redeemed.</t>
        </is>
      </c>
      <c r="H59" s="50" t="inlineStr"/>
      <c r="I59" s="53" t="inlineStr"/>
      <c r="J59" s="50" t="inlineStr"/>
    </row>
    <row r="60" ht="18" customHeight="1">
      <c r="A60" s="47" t="n">
        <v>56</v>
      </c>
      <c r="B60" s="50" t="inlineStr">
        <is>
          <t>Chit Redemptions</t>
        </is>
      </c>
      <c r="C60" s="50" t="inlineStr">
        <is>
          <t>/gold-erp/chit-redemptions</t>
        </is>
      </c>
      <c r="D60" s="51" t="inlineStr">
        <is>
          <t>ASSERT</t>
        </is>
      </c>
      <c r="E60" s="50" t="inlineStr">
        <is>
          <t>MBR-001 status</t>
        </is>
      </c>
      <c r="F60" s="52" t="inlineStr">
        <is>
          <t>Redeemed</t>
        </is>
      </c>
      <c r="G60" s="57" t="inlineStr">
        <is>
          <t>Scheme shows Redeemed, not Active</t>
        </is>
      </c>
      <c r="H60" s="50" t="inlineStr"/>
      <c r="I60" s="53" t="inlineStr"/>
      <c r="J60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4: Wholesale Jobwork — Customer's Own Gold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Priya Jewellers sends 128gm gold → receive in customer account → issue to karigar → 8 bangles produced → invoice making charges only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F4</t>
        </is>
      </c>
      <c r="C3" s="47" t="inlineStr">
        <is>
          <t>Steps</t>
        </is>
      </c>
      <c r="D3" s="48" t="n">
        <v>32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IF(I4="","—",TEXT(COUNTIF(I5:I200,"PASS")/COUNTA(I5:I200),"0%"))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Wholesale B2B Order Booking</t>
        </is>
      </c>
      <c r="C5" s="50" t="inlineStr">
        <is>
          <t>/gold-erp/wholesale-orders</t>
        </is>
      </c>
      <c r="D5" s="54" t="inlineStr">
        <is>
          <t>NAVIGATE</t>
        </is>
      </c>
      <c r="E5" s="50" t="inlineStr"/>
      <c r="F5" s="52" t="inlineStr"/>
      <c r="G5" s="52" t="inlineStr">
        <is>
          <t>Wholesale order list</t>
        </is>
      </c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Wholesale B2B Order Booking</t>
        </is>
      </c>
      <c r="C6" s="50" t="inlineStr">
        <is>
          <t>/gold-erp/wholesale-orders</t>
        </is>
      </c>
      <c r="D6" s="55" t="inlineStr">
        <is>
          <t>CLICK</t>
        </is>
      </c>
      <c r="E6" s="50" t="inlineStr">
        <is>
          <t>+ New Order</t>
        </is>
      </c>
      <c r="F6" s="52" t="inlineStr"/>
      <c r="G6" s="52" t="inlineStr"/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Wholesale B2B Order Booking</t>
        </is>
      </c>
      <c r="C7" s="50" t="inlineStr">
        <is>
          <t>/gold-erp/wholesale-orders</t>
        </is>
      </c>
      <c r="D7" s="56" t="inlineStr">
        <is>
          <t>ENTER</t>
        </is>
      </c>
      <c r="E7" s="50" t="inlineStr">
        <is>
          <t>Customer</t>
        </is>
      </c>
      <c r="F7" s="52" t="inlineStr">
        <is>
          <t>Priya Jewellers — 36AAACP1234A1Z5</t>
        </is>
      </c>
      <c r="G7" s="52" t="inlineStr">
        <is>
          <t>Lookup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Wholesale B2B Order Booking</t>
        </is>
      </c>
      <c r="C8" s="50" t="inlineStr">
        <is>
          <t>/gold-erp/wholesale-orders</t>
        </is>
      </c>
      <c r="D8" s="56" t="inlineStr">
        <is>
          <t>ENTER</t>
        </is>
      </c>
      <c r="E8" s="50" t="inlineStr">
        <is>
          <t>Order Type</t>
        </is>
      </c>
      <c r="F8" s="52" t="inlineStr">
        <is>
          <t>Jobwork (Customer's Gold)</t>
        </is>
      </c>
      <c r="G8" s="52" t="inlineStr">
        <is>
          <t>Dropdown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Wholesale B2B Order Booking</t>
        </is>
      </c>
      <c r="C9" s="50" t="inlineStr">
        <is>
          <t>/gold-erp/wholesale-orders</t>
        </is>
      </c>
      <c r="D9" s="56" t="inlineStr">
        <is>
          <t>ENTER</t>
        </is>
      </c>
      <c r="E9" s="50" t="inlineStr">
        <is>
          <t>Design</t>
        </is>
      </c>
      <c r="F9" s="52" t="inlineStr">
        <is>
          <t>DS-BG-001 — 22K Plain Bangles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Wholesale B2B Order Booking</t>
        </is>
      </c>
      <c r="C10" s="50" t="inlineStr">
        <is>
          <t>/gold-erp/wholesale-orders</t>
        </is>
      </c>
      <c r="D10" s="56" t="inlineStr">
        <is>
          <t>ENTER</t>
        </is>
      </c>
      <c r="E10" s="50" t="inlineStr">
        <is>
          <t>Quantity</t>
        </is>
      </c>
      <c r="F10" s="52" t="inlineStr">
        <is>
          <t>8 pieces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Wholesale B2B Order Booking</t>
        </is>
      </c>
      <c r="C11" s="50" t="inlineStr">
        <is>
          <t>/gold-erp/wholesale-orders</t>
        </is>
      </c>
      <c r="D11" s="56" t="inlineStr">
        <is>
          <t>ENTER</t>
        </is>
      </c>
      <c r="E11" s="50" t="inlineStr">
        <is>
          <t>Target Weight per piece</t>
        </is>
      </c>
      <c r="F11" s="52" t="inlineStr">
        <is>
          <t>15 gm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Wholesale B2B Order Booking</t>
        </is>
      </c>
      <c r="C12" s="50" t="inlineStr">
        <is>
          <t>/gold-erp/wholesale-orders</t>
        </is>
      </c>
      <c r="D12" s="56" t="inlineStr">
        <is>
          <t>ENTER</t>
        </is>
      </c>
      <c r="E12" s="50" t="inlineStr">
        <is>
          <t>Making Charges Agreed</t>
        </is>
      </c>
      <c r="F12" s="52" t="inlineStr">
        <is>
          <t>₹380/gm</t>
        </is>
      </c>
      <c r="G12" s="52" t="inlineStr">
        <is>
          <t>As per negotiation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Wholesale B2B Order Booking</t>
        </is>
      </c>
      <c r="C13" s="50" t="inlineStr">
        <is>
          <t>/gold-erp/wholesale-orders</t>
        </is>
      </c>
      <c r="D13" s="56" t="inlineStr">
        <is>
          <t>ENTER</t>
        </is>
      </c>
      <c r="E13" s="50" t="inlineStr">
        <is>
          <t>Delivery Date</t>
        </is>
      </c>
      <c r="F13" s="52" t="inlineStr">
        <is>
          <t>Today + 14 days</t>
        </is>
      </c>
      <c r="G13" s="52" t="inlineStr"/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Wholesale B2B Order Booking</t>
        </is>
      </c>
      <c r="C14" s="50" t="inlineStr">
        <is>
          <t>/gold-erp/wholesale-orders</t>
        </is>
      </c>
      <c r="D14" s="55" t="inlineStr">
        <is>
          <t>CLICK</t>
        </is>
      </c>
      <c r="E14" s="50" t="inlineStr">
        <is>
          <t>Save</t>
        </is>
      </c>
      <c r="F14" s="52" t="inlineStr"/>
      <c r="G14" s="52" t="inlineStr">
        <is>
          <t>WO-2024-0001 created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Wholesale Jobwork</t>
        </is>
      </c>
      <c r="C15" s="50" t="inlineStr">
        <is>
          <t>/gold-erp/wholesale-jobwork</t>
        </is>
      </c>
      <c r="D15" s="54" t="inlineStr">
        <is>
          <t>NAVIGATE</t>
        </is>
      </c>
      <c r="E15" s="50" t="inlineStr"/>
      <c r="F15" s="52" t="inlineStr"/>
      <c r="G15" s="52" t="inlineStr">
        <is>
          <t>Wholesale jobwork list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Wholesale Jobwork</t>
        </is>
      </c>
      <c r="C16" s="50" t="inlineStr">
        <is>
          <t>/gold-erp/wholesale-jobwork</t>
        </is>
      </c>
      <c r="D16" s="55" t="inlineStr">
        <is>
          <t>CLICK</t>
        </is>
      </c>
      <c r="E16" s="50" t="inlineStr">
        <is>
          <t>+ Receive Customer Gold</t>
        </is>
      </c>
      <c r="F16" s="52" t="inlineStr"/>
      <c r="G16" s="52" t="inlineStr">
        <is>
          <t>Gold receipt form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Wholesale Jobwork</t>
        </is>
      </c>
      <c r="C17" s="50" t="inlineStr">
        <is>
          <t>/gold-erp/wholesale-jobwork</t>
        </is>
      </c>
      <c r="D17" s="56" t="inlineStr">
        <is>
          <t>ENTER</t>
        </is>
      </c>
      <c r="E17" s="50" t="inlineStr">
        <is>
          <t>Order</t>
        </is>
      </c>
      <c r="F17" s="52" t="inlineStr">
        <is>
          <t>WO-2024-0001 — Priya Jewellers</t>
        </is>
      </c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Wholesale Jobwork</t>
        </is>
      </c>
      <c r="C18" s="50" t="inlineStr">
        <is>
          <t>/gold-erp/wholesale-jobwork</t>
        </is>
      </c>
      <c r="D18" s="56" t="inlineStr">
        <is>
          <t>ENTER</t>
        </is>
      </c>
      <c r="E18" s="50" t="inlineStr">
        <is>
          <t>Gold Received (gm)</t>
        </is>
      </c>
      <c r="F18" s="52" t="inlineStr">
        <is>
          <t>128.0</t>
        </is>
      </c>
      <c r="G18" s="52" t="inlineStr">
        <is>
          <t>Customer sends 128gm for 8 bangles × 15gm + 5% extra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Wholesale Jobwork</t>
        </is>
      </c>
      <c r="C19" s="50" t="inlineStr">
        <is>
          <t>/gold-erp/wholesale-jobwork</t>
        </is>
      </c>
      <c r="D19" s="56" t="inlineStr">
        <is>
          <t>ENTER</t>
        </is>
      </c>
      <c r="E19" s="50" t="inlineStr">
        <is>
          <t>Purity</t>
        </is>
      </c>
      <c r="F19" s="52" t="inlineStr">
        <is>
          <t>22K (916)</t>
        </is>
      </c>
      <c r="G19" s="52" t="inlineStr"/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Wholesale Jobwork</t>
        </is>
      </c>
      <c r="C20" s="50" t="inlineStr">
        <is>
          <t>/gold-erp/wholesale-jobwork</t>
        </is>
      </c>
      <c r="D20" s="56" t="inlineStr">
        <is>
          <t>ENTER</t>
        </is>
      </c>
      <c r="E20" s="50" t="inlineStr">
        <is>
          <t>Form</t>
        </is>
      </c>
      <c r="F20" s="52" t="inlineStr">
        <is>
          <t>Granules</t>
        </is>
      </c>
      <c r="G20" s="52" t="inlineStr">
        <is>
          <t>Customer sends loose gold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Wholesale Jobwork</t>
        </is>
      </c>
      <c r="C21" s="50" t="inlineStr">
        <is>
          <t>/gold-erp/wholesale-jobwork</t>
        </is>
      </c>
      <c r="D21" s="56" t="inlineStr">
        <is>
          <t>ENTER</t>
        </is>
      </c>
      <c r="E21" s="50" t="inlineStr">
        <is>
          <t>Received By</t>
        </is>
      </c>
      <c r="F21" s="52" t="inlineStr">
        <is>
          <t>Raju Goldsmith (store manager)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Wholesale Jobwork</t>
        </is>
      </c>
      <c r="C22" s="50" t="inlineStr">
        <is>
          <t>/gold-erp/wholesale-jobwork</t>
        </is>
      </c>
      <c r="D22" s="51" t="inlineStr">
        <is>
          <t>ASSERT</t>
        </is>
      </c>
      <c r="E22" s="50" t="inlineStr">
        <is>
          <t>Customer Gold Account</t>
        </is>
      </c>
      <c r="F22" s="52" t="inlineStr">
        <is>
          <t>128.0 gm credited</t>
        </is>
      </c>
      <c r="G22" s="57" t="inlineStr">
        <is>
          <t>Priya Jewellers gold account shows +128 gm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Wholesale Jobwork</t>
        </is>
      </c>
      <c r="C23" s="50" t="inlineStr">
        <is>
          <t>/gold-erp/wholesale-jobwork</t>
        </is>
      </c>
      <c r="D23" s="55" t="inlineStr">
        <is>
          <t>CLICK</t>
        </is>
      </c>
      <c r="E23" s="50" t="inlineStr">
        <is>
          <t>Issue to Karigar</t>
        </is>
      </c>
      <c r="F23" s="52" t="inlineStr"/>
      <c r="G23" s="52" t="inlineStr">
        <is>
          <t>Issue from customer gold (NOT from own stock)</t>
        </is>
      </c>
      <c r="H23" s="50" t="inlineStr"/>
      <c r="I23" s="53" t="inlineStr"/>
      <c r="J23" s="50" t="inlineStr">
        <is>
          <t>CRITICAL: must NOT reduce own stock</t>
        </is>
      </c>
    </row>
    <row r="24" ht="18" customHeight="1">
      <c r="A24" s="47" t="n">
        <v>20</v>
      </c>
      <c r="B24" s="50" t="inlineStr">
        <is>
          <t>Wholesale Jobwork</t>
        </is>
      </c>
      <c r="C24" s="50" t="inlineStr">
        <is>
          <t>/gold-erp/wholesale-jobwork</t>
        </is>
      </c>
      <c r="D24" s="56" t="inlineStr">
        <is>
          <t>ENTER</t>
        </is>
      </c>
      <c r="E24" s="50" t="inlineStr">
        <is>
          <t>Karigar</t>
        </is>
      </c>
      <c r="F24" s="52" t="inlineStr">
        <is>
          <t>Raju Goldsmith</t>
        </is>
      </c>
      <c r="G24" s="52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Wholesale Jobwork</t>
        </is>
      </c>
      <c r="C25" s="50" t="inlineStr">
        <is>
          <t>/gold-erp/wholesale-jobwork</t>
        </is>
      </c>
      <c r="D25" s="56" t="inlineStr">
        <is>
          <t>ENTER</t>
        </is>
      </c>
      <c r="E25" s="50" t="inlineStr">
        <is>
          <t>Gold Issued to Karigar (gm)</t>
        </is>
      </c>
      <c r="F25" s="52" t="inlineStr">
        <is>
          <t>128.0</t>
        </is>
      </c>
      <c r="G25" s="52" t="inlineStr">
        <is>
          <t>Full amount issued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Wholesale Jobwork</t>
        </is>
      </c>
      <c r="C26" s="50" t="inlineStr">
        <is>
          <t>/gold-erp/wholesale-jobwork</t>
        </is>
      </c>
      <c r="D26" s="51" t="inlineStr">
        <is>
          <t>ASSERT</t>
        </is>
      </c>
      <c r="E26" s="50" t="inlineStr">
        <is>
          <t>Own Stock unchanged</t>
        </is>
      </c>
      <c r="F26" s="52" t="inlineStr">
        <is>
          <t>(no change)</t>
        </is>
      </c>
      <c r="G26" s="57" t="inlineStr">
        <is>
          <t>Only customer's gold account reduces, not own gold stock</t>
        </is>
      </c>
      <c r="H26" s="50" t="inlineStr"/>
      <c r="I26" s="53" t="inlineStr"/>
      <c r="J26" s="50" t="inlineStr">
        <is>
          <t>CRITICAL assertion</t>
        </is>
      </c>
    </row>
    <row r="27" ht="18" customHeight="1">
      <c r="A27" s="47" t="n">
        <v>23</v>
      </c>
      <c r="B27" s="50" t="inlineStr">
        <is>
          <t>Wholesale Jobwork</t>
        </is>
      </c>
      <c r="C27" s="50" t="inlineStr">
        <is>
          <t>/gold-erp/wholesale-jobwork</t>
        </is>
      </c>
      <c r="D27" s="58" t="inlineStr">
        <is>
          <t>NOTE</t>
        </is>
      </c>
      <c r="E27" s="50" t="inlineStr">
        <is>
          <t>— After production, 8 bangles completed —</t>
        </is>
      </c>
      <c r="F27" s="52" t="inlineStr"/>
      <c r="G27" s="52" t="inlineStr">
        <is>
          <t>8 bangles × avg 15.1gm = 120.8gm in pieces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Wholesale Jobwork</t>
        </is>
      </c>
      <c r="C28" s="50" t="inlineStr">
        <is>
          <t>/gold-erp/wholesale-jobwork</t>
        </is>
      </c>
      <c r="D28" s="56" t="inlineStr">
        <is>
          <t>ENTER</t>
        </is>
      </c>
      <c r="E28" s="50" t="inlineStr">
        <is>
          <t>Gold Returned in Pieces (gm)</t>
        </is>
      </c>
      <c r="F28" s="52" t="inlineStr">
        <is>
          <t>120.8</t>
        </is>
      </c>
      <c r="G28" s="52" t="inlineStr">
        <is>
          <t>8 bangles weighed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Wholesale Jobwork</t>
        </is>
      </c>
      <c r="C29" s="50" t="inlineStr">
        <is>
          <t>/gold-erp/wholesale-jobwork</t>
        </is>
      </c>
      <c r="D29" s="56" t="inlineStr">
        <is>
          <t>ENTER</t>
        </is>
      </c>
      <c r="E29" s="50" t="inlineStr">
        <is>
          <t>Wastage Collected (gm)</t>
        </is>
      </c>
      <c r="F29" s="52" t="inlineStr">
        <is>
          <t>5.2</t>
        </is>
      </c>
      <c r="G29" s="52" t="inlineStr">
        <is>
          <t>Filing + dust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Wholesale Jobwork</t>
        </is>
      </c>
      <c r="C30" s="50" t="inlineStr">
        <is>
          <t>/gold-erp/wholesale-jobwork</t>
        </is>
      </c>
      <c r="D30" s="51" t="inlineStr">
        <is>
          <t>ASSERT</t>
        </is>
      </c>
      <c r="E30" s="50" t="inlineStr">
        <is>
          <t>Customer Gold Balance</t>
        </is>
      </c>
      <c r="F30" s="52" t="inlineStr">
        <is>
          <t>2.0 gm</t>
        </is>
      </c>
      <c r="G30" s="57" t="inlineStr">
        <is>
          <t>128.0 − 120.8 − 5.2 = 2.0 gm remaining (to return or credit)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Wholesale Jobwork</t>
        </is>
      </c>
      <c r="C31" s="50" t="inlineStr">
        <is>
          <t>/gold-erp/wholesale-jobwork</t>
        </is>
      </c>
      <c r="D31" s="56" t="inlineStr">
        <is>
          <t>ENTER</t>
        </is>
      </c>
      <c r="E31" s="50" t="inlineStr">
        <is>
          <t>Excess Gold Disposition</t>
        </is>
      </c>
      <c r="F31" s="52" t="inlineStr">
        <is>
          <t>Return to customer</t>
        </is>
      </c>
      <c r="G31" s="52" t="inlineStr">
        <is>
          <t>2.0 gm to be returned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Wholesale B2B Order Booking</t>
        </is>
      </c>
      <c r="C32" s="50" t="inlineStr">
        <is>
          <t>/gold-erp/wholesale-orders</t>
        </is>
      </c>
      <c r="D32" s="55" t="inlineStr">
        <is>
          <t>CLICK</t>
        </is>
      </c>
      <c r="E32" s="50" t="inlineStr">
        <is>
          <t>Generate Making Charges Invoice — WO-2024-0001</t>
        </is>
      </c>
      <c r="F32" s="52" t="inlineStr"/>
      <c r="G32" s="52" t="inlineStr">
        <is>
          <t>Invoice for making charges ONLY (no gold value)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Wholesale B2B Order Booking</t>
        </is>
      </c>
      <c r="C33" s="50" t="inlineStr">
        <is>
          <t>/gold-erp/wholesale-orders</t>
        </is>
      </c>
      <c r="D33" s="51" t="inlineStr">
        <is>
          <t>ASSERT</t>
        </is>
      </c>
      <c r="E33" s="50" t="inlineStr">
        <is>
          <t>Invoice Line Items</t>
        </is>
      </c>
      <c r="F33" s="52" t="inlineStr">
        <is>
          <t>Making charges: 120.8 gm × ₹380 = ₹45,904</t>
        </is>
      </c>
      <c r="G33" s="57" t="inlineStr">
        <is>
          <t>Gold NOT invoiced — it's customer's gold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Wholesale B2B Order Booking</t>
        </is>
      </c>
      <c r="C34" s="50" t="inlineStr">
        <is>
          <t>/gold-erp/wholesale-orders</t>
        </is>
      </c>
      <c r="D34" s="51" t="inlineStr">
        <is>
          <t>ASSERT</t>
        </is>
      </c>
      <c r="E34" s="50" t="inlineStr">
        <is>
          <t>GST on Invoice</t>
        </is>
      </c>
      <c r="F34" s="52" t="inlineStr">
        <is>
          <t>₹2,295</t>
        </is>
      </c>
      <c r="G34" s="57" t="inlineStr">
        <is>
          <t>5% GST on making charges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Wholesale B2B Order Booking</t>
        </is>
      </c>
      <c r="C35" s="50" t="inlineStr">
        <is>
          <t>/gold-erp/wholesale-orders</t>
        </is>
      </c>
      <c r="D35" s="51" t="inlineStr">
        <is>
          <t>ASSERT</t>
        </is>
      </c>
      <c r="E35" s="50" t="inlineStr">
        <is>
          <t>Total Invoice</t>
        </is>
      </c>
      <c r="F35" s="52" t="inlineStr">
        <is>
          <t>₹48,199</t>
        </is>
      </c>
      <c r="G35" s="57" t="inlineStr">
        <is>
          <t>Making + GST only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Wholesale B2B Order Booking</t>
        </is>
      </c>
      <c r="C36" s="50" t="inlineStr">
        <is>
          <t>/gold-erp/wholesale-orders</t>
        </is>
      </c>
      <c r="D36" s="51" t="inlineStr">
        <is>
          <t>ASSERT</t>
        </is>
      </c>
      <c r="E36" s="50" t="inlineStr">
        <is>
          <t>Customer gold account balance</t>
        </is>
      </c>
      <c r="F36" s="52" t="inlineStr">
        <is>
          <t>0.0 gm (after return of 2gm)</t>
        </is>
      </c>
      <c r="G36" s="57" t="inlineStr">
        <is>
          <t>Account cleared after return</t>
        </is>
      </c>
      <c r="H36" s="50" t="inlineStr"/>
      <c r="I36" s="53" t="inlineStr"/>
      <c r="J36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5: Bullion Booking → Rate Cut Invoice → Vault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Book 100gm gold bar from Krishna Bullion → record inward → rate cut invoice (assay + refining deductions) → verify vault balance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F5</t>
        </is>
      </c>
      <c r="C3" s="47" t="inlineStr">
        <is>
          <t>Steps</t>
        </is>
      </c>
      <c r="D3" s="48" t="n">
        <v>35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IF(I4="","—",TEXT(COUNTIF(I5:I200,"PASS")/COUNTA(I5:I200),"0%"))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Bullion Bookings</t>
        </is>
      </c>
      <c r="C5" s="50" t="inlineStr">
        <is>
          <t>/gold-erp/bullion-bookings</t>
        </is>
      </c>
      <c r="D5" s="54" t="inlineStr">
        <is>
          <t>NAVIGATE</t>
        </is>
      </c>
      <c r="E5" s="50" t="inlineStr"/>
      <c r="F5" s="52" t="inlineStr"/>
      <c r="G5" s="52" t="inlineStr">
        <is>
          <t>Bullion bookings list</t>
        </is>
      </c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Bullion Bookings</t>
        </is>
      </c>
      <c r="C6" s="50" t="inlineStr">
        <is>
          <t>/gold-erp/bullion-bookings</t>
        </is>
      </c>
      <c r="D6" s="55" t="inlineStr">
        <is>
          <t>CLICK</t>
        </is>
      </c>
      <c r="E6" s="50" t="inlineStr">
        <is>
          <t>+ New Booking</t>
        </is>
      </c>
      <c r="F6" s="52" t="inlineStr"/>
      <c r="G6" s="52" t="inlineStr"/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Bullion Bookings</t>
        </is>
      </c>
      <c r="C7" s="50" t="inlineStr">
        <is>
          <t>/gold-erp/bullion-bookings</t>
        </is>
      </c>
      <c r="D7" s="56" t="inlineStr">
        <is>
          <t>ENTER</t>
        </is>
      </c>
      <c r="E7" s="50" t="inlineStr">
        <is>
          <t>Supplier</t>
        </is>
      </c>
      <c r="F7" s="52" t="inlineStr">
        <is>
          <t>Krishna Bullion House, Hyderabad</t>
        </is>
      </c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Bullion Bookings</t>
        </is>
      </c>
      <c r="C8" s="50" t="inlineStr">
        <is>
          <t>/gold-erp/bullion-bookings</t>
        </is>
      </c>
      <c r="D8" s="56" t="inlineStr">
        <is>
          <t>ENTER</t>
        </is>
      </c>
      <c r="E8" s="50" t="inlineStr">
        <is>
          <t>Metal</t>
        </is>
      </c>
      <c r="F8" s="52" t="inlineStr">
        <is>
          <t>Gold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Bullion Bookings</t>
        </is>
      </c>
      <c r="C9" s="50" t="inlineStr">
        <is>
          <t>/gold-erp/bullion-bookings</t>
        </is>
      </c>
      <c r="D9" s="56" t="inlineStr">
        <is>
          <t>ENTER</t>
        </is>
      </c>
      <c r="E9" s="50" t="inlineStr">
        <is>
          <t>Purity / Fineness</t>
        </is>
      </c>
      <c r="F9" s="52" t="inlineStr">
        <is>
          <t>999.9</t>
        </is>
      </c>
      <c r="G9" s="52" t="inlineStr">
        <is>
          <t>24K pure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Bullion Bookings</t>
        </is>
      </c>
      <c r="C10" s="50" t="inlineStr">
        <is>
          <t>/gold-erp/bullion-bookings</t>
        </is>
      </c>
      <c r="D10" s="56" t="inlineStr">
        <is>
          <t>ENTER</t>
        </is>
      </c>
      <c r="E10" s="50" t="inlineStr">
        <is>
          <t>Form</t>
        </is>
      </c>
      <c r="F10" s="52" t="inlineStr">
        <is>
          <t>Bar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Bullion Bookings</t>
        </is>
      </c>
      <c r="C11" s="50" t="inlineStr">
        <is>
          <t>/gold-erp/bullion-bookings</t>
        </is>
      </c>
      <c r="D11" s="56" t="inlineStr">
        <is>
          <t>ENTER</t>
        </is>
      </c>
      <c r="E11" s="50" t="inlineStr">
        <is>
          <t>Weight (gm)</t>
        </is>
      </c>
      <c r="F11" s="52" t="inlineStr">
        <is>
          <t>100</t>
        </is>
      </c>
      <c r="G11" s="52" t="inlineStr">
        <is>
          <t>1 bar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Bullion Bookings</t>
        </is>
      </c>
      <c r="C12" s="50" t="inlineStr">
        <is>
          <t>/gold-erp/bullion-bookings</t>
        </is>
      </c>
      <c r="D12" s="56" t="inlineStr">
        <is>
          <t>ENTER</t>
        </is>
      </c>
      <c r="E12" s="50" t="inlineStr">
        <is>
          <t>Agreed Gross Rate (₹/gm)</t>
        </is>
      </c>
      <c r="F12" s="52" t="inlineStr">
        <is>
          <t>7100</t>
        </is>
      </c>
      <c r="G12" s="52" t="inlineStr">
        <is>
          <t>Negotiated rate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Bullion Bookings</t>
        </is>
      </c>
      <c r="C13" s="50" t="inlineStr">
        <is>
          <t>/gold-erp/bullion-bookings</t>
        </is>
      </c>
      <c r="D13" s="51" t="inlineStr">
        <is>
          <t>ASSERT</t>
        </is>
      </c>
      <c r="E13" s="50" t="inlineStr">
        <is>
          <t>Gross Amount (auto)</t>
        </is>
      </c>
      <c r="F13" s="52" t="inlineStr">
        <is>
          <t>₹7,10,000</t>
        </is>
      </c>
      <c r="G13" s="57" t="inlineStr">
        <is>
          <t>100 × ₹7,100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Bullion Bookings</t>
        </is>
      </c>
      <c r="C14" s="50" t="inlineStr">
        <is>
          <t>/gold-erp/bullion-bookings</t>
        </is>
      </c>
      <c r="D14" s="56" t="inlineStr">
        <is>
          <t>ENTER</t>
        </is>
      </c>
      <c r="E14" s="50" t="inlineStr">
        <is>
          <t>Expected Delivery</t>
        </is>
      </c>
      <c r="F14" s="52" t="inlineStr">
        <is>
          <t>Today</t>
        </is>
      </c>
      <c r="G14" s="52" t="inlineStr"/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Bullion Bookings</t>
        </is>
      </c>
      <c r="C15" s="50" t="inlineStr">
        <is>
          <t>/gold-erp/bullion-bookings</t>
        </is>
      </c>
      <c r="D15" s="55" t="inlineStr">
        <is>
          <t>CLICK</t>
        </is>
      </c>
      <c r="E15" s="50" t="inlineStr">
        <is>
          <t>Save Booking</t>
        </is>
      </c>
      <c r="F15" s="52" t="inlineStr"/>
      <c r="G15" s="52" t="inlineStr">
        <is>
          <t>BUL-BKG-001 created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Bullion Transactions</t>
        </is>
      </c>
      <c r="C16" s="50" t="inlineStr">
        <is>
          <t>/gold-erp/bullion-transactions</t>
        </is>
      </c>
      <c r="D16" s="54" t="inlineStr">
        <is>
          <t>NAVIGATE</t>
        </is>
      </c>
      <c r="E16" s="50" t="inlineStr"/>
      <c r="F16" s="52" t="inlineStr"/>
      <c r="G16" s="52" t="inlineStr">
        <is>
          <t>Bullion transactions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Bullion Transactions</t>
        </is>
      </c>
      <c r="C17" s="50" t="inlineStr">
        <is>
          <t>/gold-erp/bullion-transactions</t>
        </is>
      </c>
      <c r="D17" s="55" t="inlineStr">
        <is>
          <t>CLICK</t>
        </is>
      </c>
      <c r="E17" s="50" t="inlineStr">
        <is>
          <t>+ Record Inward</t>
        </is>
      </c>
      <c r="F17" s="52" t="inlineStr"/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Bullion Transactions</t>
        </is>
      </c>
      <c r="C18" s="50" t="inlineStr">
        <is>
          <t>/gold-erp/bullion-transactions</t>
        </is>
      </c>
      <c r="D18" s="56" t="inlineStr">
        <is>
          <t>ENTER</t>
        </is>
      </c>
      <c r="E18" s="50" t="inlineStr">
        <is>
          <t>Booking Reference</t>
        </is>
      </c>
      <c r="F18" s="52" t="inlineStr">
        <is>
          <t>BUL-BKG-001</t>
        </is>
      </c>
      <c r="G18" s="52" t="inlineStr">
        <is>
          <t>Auto-fills supplier, metal, weight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Bullion Transactions</t>
        </is>
      </c>
      <c r="C19" s="50" t="inlineStr">
        <is>
          <t>/gold-erp/bullion-transactions</t>
        </is>
      </c>
      <c r="D19" s="56" t="inlineStr">
        <is>
          <t>ENTER</t>
        </is>
      </c>
      <c r="E19" s="50" t="inlineStr">
        <is>
          <t>Actual Weight Received (gm)</t>
        </is>
      </c>
      <c r="F19" s="52" t="inlineStr">
        <is>
          <t>100.0</t>
        </is>
      </c>
      <c r="G19" s="52" t="inlineStr">
        <is>
          <t>Physical weight confirmed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Bullion Transactions</t>
        </is>
      </c>
      <c r="C20" s="50" t="inlineStr">
        <is>
          <t>/gold-erp/bullion-transactions</t>
        </is>
      </c>
      <c r="D20" s="56" t="inlineStr">
        <is>
          <t>ENTER</t>
        </is>
      </c>
      <c r="E20" s="50" t="inlineStr">
        <is>
          <t>Assay Certificate No</t>
        </is>
      </c>
      <c r="F20" s="52" t="inlineStr">
        <is>
          <t>AC-2024-1122</t>
        </is>
      </c>
      <c r="G20" s="52" t="inlineStr">
        <is>
          <t>From supplier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Bullion Transactions</t>
        </is>
      </c>
      <c r="C21" s="50" t="inlineStr">
        <is>
          <t>/gold-erp/bullion-transactions</t>
        </is>
      </c>
      <c r="D21" s="55" t="inlineStr">
        <is>
          <t>CLICK</t>
        </is>
      </c>
      <c r="E21" s="50" t="inlineStr">
        <is>
          <t>Save Inward</t>
        </is>
      </c>
      <c r="F21" s="52" t="inlineStr"/>
      <c r="G21" s="52" t="inlineStr">
        <is>
          <t>Inward recorded. Metal ledger updated +100 gm.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Bullion Rate Cut Invoices</t>
        </is>
      </c>
      <c r="C22" s="50" t="inlineStr">
        <is>
          <t>/gold-erp/bullion-rate-cuts</t>
        </is>
      </c>
      <c r="D22" s="54" t="inlineStr">
        <is>
          <t>NAVIGATE</t>
        </is>
      </c>
      <c r="E22" s="50" t="inlineStr"/>
      <c r="F22" s="52" t="inlineStr"/>
      <c r="G22" s="52" t="inlineStr">
        <is>
          <t>Rate cut invoice screen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Bullion Rate Cut Invoices</t>
        </is>
      </c>
      <c r="C23" s="50" t="inlineStr">
        <is>
          <t>/gold-erp/bullion-rate-cuts</t>
        </is>
      </c>
      <c r="D23" s="55" t="inlineStr">
        <is>
          <t>CLICK</t>
        </is>
      </c>
      <c r="E23" s="50" t="inlineStr">
        <is>
          <t>+ New Rate Cut Invoice</t>
        </is>
      </c>
      <c r="F23" s="52" t="inlineStr"/>
      <c r="G23" s="52" t="inlineStr"/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Bullion Rate Cut Invoices</t>
        </is>
      </c>
      <c r="C24" s="50" t="inlineStr">
        <is>
          <t>/gold-erp/bullion-rate-cuts</t>
        </is>
      </c>
      <c r="D24" s="56" t="inlineStr">
        <is>
          <t>ENTER</t>
        </is>
      </c>
      <c r="E24" s="50" t="inlineStr">
        <is>
          <t>Bullion Transaction</t>
        </is>
      </c>
      <c r="F24" s="52" t="inlineStr">
        <is>
          <t>BUL-BKG-001</t>
        </is>
      </c>
      <c r="G24" s="52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Bullion Rate Cut Invoices</t>
        </is>
      </c>
      <c r="C25" s="50" t="inlineStr">
        <is>
          <t>/gold-erp/bullion-rate-cuts</t>
        </is>
      </c>
      <c r="D25" s="51" t="inlineStr">
        <is>
          <t>ASSERT</t>
        </is>
      </c>
      <c r="E25" s="50" t="inlineStr">
        <is>
          <t>Gross Rate (auto)</t>
        </is>
      </c>
      <c r="F25" s="52" t="inlineStr">
        <is>
          <t>₹7,100/gm</t>
        </is>
      </c>
      <c r="G25" s="57" t="inlineStr">
        <is>
          <t>From booking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Bullion Rate Cut Invoices</t>
        </is>
      </c>
      <c r="C26" s="50" t="inlineStr">
        <is>
          <t>/gold-erp/bullion-rate-cuts</t>
        </is>
      </c>
      <c r="D26" s="56" t="inlineStr">
        <is>
          <t>ENTER</t>
        </is>
      </c>
      <c r="E26" s="50" t="inlineStr">
        <is>
          <t>Rate Cut 1 — Label</t>
        </is>
      </c>
      <c r="F26" s="52" t="inlineStr">
        <is>
          <t>Testing / Assay charges</t>
        </is>
      </c>
      <c r="G26" s="52" t="inlineStr"/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Bullion Rate Cut Invoices</t>
        </is>
      </c>
      <c r="C27" s="50" t="inlineStr">
        <is>
          <t>/gold-erp/bullion-rate-cuts</t>
        </is>
      </c>
      <c r="D27" s="56" t="inlineStr">
        <is>
          <t>ENTER</t>
        </is>
      </c>
      <c r="E27" s="50" t="inlineStr">
        <is>
          <t>Rate Cut 1 — Amount (₹/gm)</t>
        </is>
      </c>
      <c r="F27" s="52" t="inlineStr">
        <is>
          <t>15</t>
        </is>
      </c>
      <c r="G27" s="52" t="inlineStr">
        <is>
          <t>Deducted per gram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Bullion Rate Cut Invoices</t>
        </is>
      </c>
      <c r="C28" s="50" t="inlineStr">
        <is>
          <t>/gold-erp/bullion-rate-cuts</t>
        </is>
      </c>
      <c r="D28" s="51" t="inlineStr">
        <is>
          <t>ASSERT</t>
        </is>
      </c>
      <c r="E28" s="50" t="inlineStr">
        <is>
          <t>Rate after Cut 1 (auto)</t>
        </is>
      </c>
      <c r="F28" s="52" t="inlineStr">
        <is>
          <t>₹7,085/gm</t>
        </is>
      </c>
      <c r="G28" s="57" t="inlineStr">
        <is>
          <t>7,100 − 15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Bullion Rate Cut Invoices</t>
        </is>
      </c>
      <c r="C29" s="50" t="inlineStr">
        <is>
          <t>/gold-erp/bullion-rate-cuts</t>
        </is>
      </c>
      <c r="D29" s="56" t="inlineStr">
        <is>
          <t>ENTER</t>
        </is>
      </c>
      <c r="E29" s="50" t="inlineStr">
        <is>
          <t>Rate Cut 2 — Label</t>
        </is>
      </c>
      <c r="F29" s="52" t="inlineStr">
        <is>
          <t>Refining charges</t>
        </is>
      </c>
      <c r="G29" s="52" t="inlineStr"/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Bullion Rate Cut Invoices</t>
        </is>
      </c>
      <c r="C30" s="50" t="inlineStr">
        <is>
          <t>/gold-erp/bullion-rate-cuts</t>
        </is>
      </c>
      <c r="D30" s="56" t="inlineStr">
        <is>
          <t>ENTER</t>
        </is>
      </c>
      <c r="E30" s="50" t="inlineStr">
        <is>
          <t>Rate Cut 2 — Percentage (%)</t>
        </is>
      </c>
      <c r="F30" s="52" t="inlineStr">
        <is>
          <t>0.30</t>
        </is>
      </c>
      <c r="G30" s="52" t="inlineStr">
        <is>
          <t>0.3% of rate after cut 1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Bullion Rate Cut Invoices</t>
        </is>
      </c>
      <c r="C31" s="50" t="inlineStr">
        <is>
          <t>/gold-erp/bullion-rate-cuts</t>
        </is>
      </c>
      <c r="D31" s="51" t="inlineStr">
        <is>
          <t>ASSERT</t>
        </is>
      </c>
      <c r="E31" s="50" t="inlineStr">
        <is>
          <t>Rate Cut 2 Amount (auto)</t>
        </is>
      </c>
      <c r="F31" s="52" t="inlineStr">
        <is>
          <t>₹21.26/gm</t>
        </is>
      </c>
      <c r="G31" s="57" t="inlineStr">
        <is>
          <t>₹7,085 × 0.003 = ₹21.26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Bullion Rate Cut Invoices</t>
        </is>
      </c>
      <c r="C32" s="50" t="inlineStr">
        <is>
          <t>/gold-erp/bullion-rate-cuts</t>
        </is>
      </c>
      <c r="D32" s="51" t="inlineStr">
        <is>
          <t>ASSERT</t>
        </is>
      </c>
      <c r="E32" s="50" t="inlineStr">
        <is>
          <t>Net Rate after All Cuts (auto)</t>
        </is>
      </c>
      <c r="F32" s="52" t="inlineStr">
        <is>
          <t>₹7,063.74/gm</t>
        </is>
      </c>
      <c r="G32" s="57" t="inlineStr">
        <is>
          <t>7,085 − 21.26 = 7,063.74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Bullion Rate Cut Invoices</t>
        </is>
      </c>
      <c r="C33" s="50" t="inlineStr">
        <is>
          <t>/gold-erp/bullion-rate-cuts</t>
        </is>
      </c>
      <c r="D33" s="51" t="inlineStr">
        <is>
          <t>ASSERT</t>
        </is>
      </c>
      <c r="E33" s="50" t="inlineStr">
        <is>
          <t>Net Amount (auto)</t>
        </is>
      </c>
      <c r="F33" s="52" t="inlineStr">
        <is>
          <t>₹7,06,374</t>
        </is>
      </c>
      <c r="G33" s="57" t="inlineStr">
        <is>
          <t>100 × ₹7,063.74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Bullion Rate Cut Invoices</t>
        </is>
      </c>
      <c r="C34" s="50" t="inlineStr">
        <is>
          <t>/gold-erp/bullion-rate-cuts</t>
        </is>
      </c>
      <c r="D34" s="51" t="inlineStr">
        <is>
          <t>ASSERT</t>
        </is>
      </c>
      <c r="E34" s="50" t="inlineStr">
        <is>
          <t>GST 3% on Bullion (auto)</t>
        </is>
      </c>
      <c r="F34" s="52" t="inlineStr">
        <is>
          <t>₹21,191</t>
        </is>
      </c>
      <c r="G34" s="57" t="inlineStr">
        <is>
          <t>₹7,06,374 × 0.03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Bullion Rate Cut Invoices</t>
        </is>
      </c>
      <c r="C35" s="50" t="inlineStr">
        <is>
          <t>/gold-erp/bullion-rate-cuts</t>
        </is>
      </c>
      <c r="D35" s="51" t="inlineStr">
        <is>
          <t>ASSERT</t>
        </is>
      </c>
      <c r="E35" s="50" t="inlineStr">
        <is>
          <t>Total Invoice (auto)</t>
        </is>
      </c>
      <c r="F35" s="52" t="inlineStr">
        <is>
          <t>₹7,27,565</t>
        </is>
      </c>
      <c r="G35" s="57" t="inlineStr">
        <is>
          <t>Net + GST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Bullion Rate Cut Invoices</t>
        </is>
      </c>
      <c r="C36" s="50" t="inlineStr">
        <is>
          <t>/gold-erp/bullion-rate-cuts</t>
        </is>
      </c>
      <c r="D36" s="55" t="inlineStr">
        <is>
          <t>CLICK</t>
        </is>
      </c>
      <c r="E36" s="50" t="inlineStr">
        <is>
          <t>Save Invoice</t>
        </is>
      </c>
      <c r="F36" s="52" t="inlineStr"/>
      <c r="G36" s="52" t="inlineStr">
        <is>
          <t>Invoice BUL-INV-001 created. Download PDF.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Vault Movement Dashboard</t>
        </is>
      </c>
      <c r="C37" s="50" t="inlineStr">
        <is>
          <t>/gold-erp/vault-dashboard</t>
        </is>
      </c>
      <c r="D37" s="54" t="inlineStr">
        <is>
          <t>NAVIGATE</t>
        </is>
      </c>
      <c r="E37" s="50" t="inlineStr"/>
      <c r="F37" s="52" t="inlineStr"/>
      <c r="G37" s="52" t="inlineStr">
        <is>
          <t>Vault dashboard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Vault Movement Dashboard</t>
        </is>
      </c>
      <c r="C38" s="50" t="inlineStr">
        <is>
          <t>/gold-erp/vault-dashboard</t>
        </is>
      </c>
      <c r="D38" s="51" t="inlineStr">
        <is>
          <t>ASSERT</t>
        </is>
      </c>
      <c r="E38" s="50" t="inlineStr">
        <is>
          <t>Gold bar visible</t>
        </is>
      </c>
      <c r="F38" s="52" t="inlineStr">
        <is>
          <t>100 gm — 999.9 — Bar form</t>
        </is>
      </c>
      <c r="G38" s="57" t="inlineStr">
        <is>
          <t>Added to vault stock after inward</t>
        </is>
      </c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Vault Movement Dashboard</t>
        </is>
      </c>
      <c r="C39" s="50" t="inlineStr">
        <is>
          <t>/gold-erp/vault-dashboard</t>
        </is>
      </c>
      <c r="D39" s="51" t="inlineStr">
        <is>
          <t>ASSERT</t>
        </is>
      </c>
      <c r="E39" s="50" t="inlineStr">
        <is>
          <t>Total vault balance</t>
        </is>
      </c>
      <c r="F39" s="52" t="inlineStr">
        <is>
          <t>Previous + 100 gm</t>
        </is>
      </c>
      <c r="G39" s="57" t="inlineStr">
        <is>
          <t>Running balance updated</t>
        </is>
      </c>
      <c r="H39" s="50" t="inlineStr"/>
      <c r="I39" s="53" t="inlineStr"/>
      <c r="J39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6: Physical Inventory Audit — Missing Item Detection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Audit 5 showcase items: 4 found (1 with weight variance), 1 missing (18K ring 4.2gm) → discrepancy report → investigation flag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F6</t>
        </is>
      </c>
      <c r="C3" s="47" t="inlineStr">
        <is>
          <t>Steps</t>
        </is>
      </c>
      <c r="D3" s="48" t="n">
        <v>25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IF(I4="","—",TEXT(COUNTIF(I5:I200,"PASS")/COUNTA(I5:I200),"0%"))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Physical Inventory Audit</t>
        </is>
      </c>
      <c r="C5" s="50" t="inlineStr">
        <is>
          <t>/gold-erp/physical-audit</t>
        </is>
      </c>
      <c r="D5" s="54" t="inlineStr">
        <is>
          <t>NAVIGATE</t>
        </is>
      </c>
      <c r="E5" s="50" t="inlineStr"/>
      <c r="F5" s="52" t="inlineStr"/>
      <c r="G5" s="52" t="inlineStr">
        <is>
          <t>Audit screen</t>
        </is>
      </c>
      <c r="H5" s="50" t="inlineStr"/>
      <c r="I5" s="53" t="inlineStr"/>
      <c r="J5" s="50" t="inlineStr">
        <is>
          <t>Prerequisite: items DT-0042 to DT-0046 in stock</t>
        </is>
      </c>
    </row>
    <row r="6" ht="18" customHeight="1">
      <c r="A6" s="47" t="n">
        <v>2</v>
      </c>
      <c r="B6" s="50" t="inlineStr">
        <is>
          <t>Physical Inventory Audit</t>
        </is>
      </c>
      <c r="C6" s="50" t="inlineStr">
        <is>
          <t>/gold-erp/physical-audit</t>
        </is>
      </c>
      <c r="D6" s="55" t="inlineStr">
        <is>
          <t>CLICK</t>
        </is>
      </c>
      <c r="E6" s="50" t="inlineStr">
        <is>
          <t>+ Start New Audit</t>
        </is>
      </c>
      <c r="F6" s="52" t="inlineStr"/>
      <c r="G6" s="52" t="inlineStr">
        <is>
          <t>Audit session form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Physical Inventory Audit</t>
        </is>
      </c>
      <c r="C7" s="50" t="inlineStr">
        <is>
          <t>/gold-erp/physical-audit</t>
        </is>
      </c>
      <c r="D7" s="56" t="inlineStr">
        <is>
          <t>ENTER</t>
        </is>
      </c>
      <c r="E7" s="50" t="inlineStr">
        <is>
          <t>Branch / Location</t>
        </is>
      </c>
      <c r="F7" s="52" t="inlineStr">
        <is>
          <t>Main Store — Showcase</t>
        </is>
      </c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Physical Inventory Audit</t>
        </is>
      </c>
      <c r="C8" s="50" t="inlineStr">
        <is>
          <t>/gold-erp/physical-audit</t>
        </is>
      </c>
      <c r="D8" s="56" t="inlineStr">
        <is>
          <t>ENTER</t>
        </is>
      </c>
      <c r="E8" s="50" t="inlineStr">
        <is>
          <t>Auditors</t>
        </is>
      </c>
      <c r="F8" s="52" t="inlineStr">
        <is>
          <t>Raju Goldsmith + Suresh (2 auditors)</t>
        </is>
      </c>
      <c r="G8" s="52" t="inlineStr">
        <is>
          <t>Min 2 auditors required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Physical Inventory Audit</t>
        </is>
      </c>
      <c r="C9" s="50" t="inlineStr">
        <is>
          <t>/gold-erp/physical-audit</t>
        </is>
      </c>
      <c r="D9" s="55" t="inlineStr">
        <is>
          <t>CLICK</t>
        </is>
      </c>
      <c r="E9" s="50" t="inlineStr">
        <is>
          <t>Start Audit</t>
        </is>
      </c>
      <c r="F9" s="52" t="inlineStr"/>
      <c r="G9" s="52" t="inlineStr">
        <is>
          <t>Audit AUD-001 started. System stock loaded: 5 items, 69.7 gm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Physical Inventory Audit</t>
        </is>
      </c>
      <c r="C10" s="50" t="inlineStr">
        <is>
          <t>/gold-erp/physical-audit</t>
        </is>
      </c>
      <c r="D10" s="56" t="inlineStr">
        <is>
          <t>ENTER</t>
        </is>
      </c>
      <c r="E10" s="50" t="inlineStr">
        <is>
          <t>Scan / Enter Tag No</t>
        </is>
      </c>
      <c r="F10" s="52" t="inlineStr">
        <is>
          <t>DT-0042</t>
        </is>
      </c>
      <c r="G10" s="52" t="inlineStr">
        <is>
          <t>Item found</t>
        </is>
      </c>
      <c r="H10" s="50" t="inlineStr"/>
      <c r="I10" s="53" t="inlineStr"/>
      <c r="J10" s="50" t="inlineStr">
        <is>
          <t>Auto-fills: 22K Necklace 16.2gm</t>
        </is>
      </c>
    </row>
    <row r="11" ht="18" customHeight="1">
      <c r="A11" s="47" t="n">
        <v>7</v>
      </c>
      <c r="B11" s="50" t="inlineStr">
        <is>
          <t>Physical Inventory Audit</t>
        </is>
      </c>
      <c r="C11" s="50" t="inlineStr">
        <is>
          <t>/gold-erp/physical-audit</t>
        </is>
      </c>
      <c r="D11" s="56" t="inlineStr">
        <is>
          <t>ENTER</t>
        </is>
      </c>
      <c r="E11" s="50" t="inlineStr">
        <is>
          <t>Physical Weight (gm)</t>
        </is>
      </c>
      <c r="F11" s="52" t="inlineStr">
        <is>
          <t>16.1</t>
        </is>
      </c>
      <c r="G11" s="52" t="inlineStr">
        <is>
          <t>Weighed on scale — minor variance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Physical Inventory Audit</t>
        </is>
      </c>
      <c r="C12" s="50" t="inlineStr">
        <is>
          <t>/gold-erp/physical-audit</t>
        </is>
      </c>
      <c r="D12" s="56" t="inlineStr">
        <is>
          <t>ENTER</t>
        </is>
      </c>
      <c r="E12" s="50" t="inlineStr">
        <is>
          <t>Scan / Enter Tag No</t>
        </is>
      </c>
      <c r="F12" s="52" t="inlineStr">
        <is>
          <t>DT-0043</t>
        </is>
      </c>
      <c r="G12" s="52" t="inlineStr">
        <is>
          <t>Item found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Physical Inventory Audit</t>
        </is>
      </c>
      <c r="C13" s="50" t="inlineStr">
        <is>
          <t>/gold-erp/physical-audit</t>
        </is>
      </c>
      <c r="D13" s="56" t="inlineStr">
        <is>
          <t>ENTER</t>
        </is>
      </c>
      <c r="E13" s="50" t="inlineStr">
        <is>
          <t>Physical Weight (gm)</t>
        </is>
      </c>
      <c r="F13" s="52" t="inlineStr">
        <is>
          <t>24.5</t>
        </is>
      </c>
      <c r="G13" s="52" t="inlineStr">
        <is>
          <t>Exact match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Physical Inventory Audit</t>
        </is>
      </c>
      <c r="C14" s="50" t="inlineStr">
        <is>
          <t>/gold-erp/physical-audit</t>
        </is>
      </c>
      <c r="D14" s="58" t="inlineStr">
        <is>
          <t>NOTE</t>
        </is>
      </c>
      <c r="E14" s="50" t="inlineStr">
        <is>
          <t>DT-0044 — DO NOT SCAN</t>
        </is>
      </c>
      <c r="F14" s="52" t="inlineStr"/>
      <c r="G14" s="52" t="inlineStr">
        <is>
          <t>Simulate missing item (18K Ring, 4.2gm)</t>
        </is>
      </c>
      <c r="H14" s="50" t="inlineStr"/>
      <c r="I14" s="53" t="inlineStr"/>
      <c r="J14" s="50" t="inlineStr">
        <is>
          <t>Test missing item detection</t>
        </is>
      </c>
    </row>
    <row r="15" ht="18" customHeight="1">
      <c r="A15" s="47" t="n">
        <v>11</v>
      </c>
      <c r="B15" s="50" t="inlineStr">
        <is>
          <t>Physical Inventory Audit</t>
        </is>
      </c>
      <c r="C15" s="50" t="inlineStr">
        <is>
          <t>/gold-erp/physical-audit</t>
        </is>
      </c>
      <c r="D15" s="56" t="inlineStr">
        <is>
          <t>ENTER</t>
        </is>
      </c>
      <c r="E15" s="50" t="inlineStr">
        <is>
          <t>Scan / Enter Tag No</t>
        </is>
      </c>
      <c r="F15" s="52" t="inlineStr">
        <is>
          <t>DT-0045</t>
        </is>
      </c>
      <c r="G15" s="52" t="inlineStr">
        <is>
          <t>Item found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Physical Inventory Audit</t>
        </is>
      </c>
      <c r="C16" s="50" t="inlineStr">
        <is>
          <t>/gold-erp/physical-audit</t>
        </is>
      </c>
      <c r="D16" s="56" t="inlineStr">
        <is>
          <t>ENTER</t>
        </is>
      </c>
      <c r="E16" s="50" t="inlineStr">
        <is>
          <t>Physical Weight (gm)</t>
        </is>
      </c>
      <c r="F16" s="52" t="inlineStr">
        <is>
          <t>6.8</t>
        </is>
      </c>
      <c r="G16" s="52" t="inlineStr">
        <is>
          <t>Exact match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Physical Inventory Audit</t>
        </is>
      </c>
      <c r="C17" s="50" t="inlineStr">
        <is>
          <t>/gold-erp/physical-audit</t>
        </is>
      </c>
      <c r="D17" s="56" t="inlineStr">
        <is>
          <t>ENTER</t>
        </is>
      </c>
      <c r="E17" s="50" t="inlineStr">
        <is>
          <t>Scan / Enter Tag No</t>
        </is>
      </c>
      <c r="F17" s="52" t="inlineStr">
        <is>
          <t>DT-0046</t>
        </is>
      </c>
      <c r="G17" s="52" t="inlineStr">
        <is>
          <t>Item found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Physical Inventory Audit</t>
        </is>
      </c>
      <c r="C18" s="50" t="inlineStr">
        <is>
          <t>/gold-erp/physical-audit</t>
        </is>
      </c>
      <c r="D18" s="56" t="inlineStr">
        <is>
          <t>ENTER</t>
        </is>
      </c>
      <c r="E18" s="50" t="inlineStr">
        <is>
          <t>Physical Weight (gm)</t>
        </is>
      </c>
      <c r="F18" s="52" t="inlineStr">
        <is>
          <t>18.0</t>
        </is>
      </c>
      <c r="G18" s="52" t="inlineStr">
        <is>
          <t>Exact match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Physical Inventory Audit</t>
        </is>
      </c>
      <c r="C19" s="50" t="inlineStr">
        <is>
          <t>/gold-erp/physical-audit</t>
        </is>
      </c>
      <c r="D19" s="55" t="inlineStr">
        <is>
          <t>CLICK</t>
        </is>
      </c>
      <c r="E19" s="50" t="inlineStr">
        <is>
          <t>Complete Audit</t>
        </is>
      </c>
      <c r="F19" s="52" t="inlineStr"/>
      <c r="G19" s="52" t="inlineStr">
        <is>
          <t>Audit completed. Discrepancy report generated.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Physical Inventory Audit</t>
        </is>
      </c>
      <c r="C20" s="50" t="inlineStr">
        <is>
          <t>/gold-erp/physical-audit</t>
        </is>
      </c>
      <c r="D20" s="51" t="inlineStr">
        <is>
          <t>ASSERT</t>
        </is>
      </c>
      <c r="E20" s="50" t="inlineStr">
        <is>
          <t>Missing Items</t>
        </is>
      </c>
      <c r="F20" s="52" t="inlineStr">
        <is>
          <t>DT-0044 — 18K Ring — 4.2gm</t>
        </is>
      </c>
      <c r="G20" s="57" t="inlineStr">
        <is>
          <t>System shows DT-0044 not scanned = MISSING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Physical Inventory Audit</t>
        </is>
      </c>
      <c r="C21" s="50" t="inlineStr">
        <is>
          <t>/gold-erp/physical-audit</t>
        </is>
      </c>
      <c r="D21" s="51" t="inlineStr">
        <is>
          <t>ASSERT</t>
        </is>
      </c>
      <c r="E21" s="50" t="inlineStr">
        <is>
          <t>Weight Mismatch</t>
        </is>
      </c>
      <c r="F21" s="52" t="inlineStr">
        <is>
          <t>DT-0042: −0.1 gm</t>
        </is>
      </c>
      <c r="G21" s="57" t="inlineStr">
        <is>
          <t>16.2 system vs 16.1 physical = −0.1gm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Physical Inventory Audit</t>
        </is>
      </c>
      <c r="C22" s="50" t="inlineStr">
        <is>
          <t>/gold-erp/physical-audit</t>
        </is>
      </c>
      <c r="D22" s="51" t="inlineStr">
        <is>
          <t>ASSERT</t>
        </is>
      </c>
      <c r="E22" s="50" t="inlineStr">
        <is>
          <t>Total System Weight</t>
        </is>
      </c>
      <c r="F22" s="52" t="inlineStr">
        <is>
          <t>69.7 gm</t>
        </is>
      </c>
      <c r="G22" s="57" t="inlineStr">
        <is>
          <t>5 items sum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Physical Inventory Audit</t>
        </is>
      </c>
      <c r="C23" s="50" t="inlineStr">
        <is>
          <t>/gold-erp/physical-audit</t>
        </is>
      </c>
      <c r="D23" s="51" t="inlineStr">
        <is>
          <t>ASSERT</t>
        </is>
      </c>
      <c r="E23" s="50" t="inlineStr">
        <is>
          <t>Total Physical Weight</t>
        </is>
      </c>
      <c r="F23" s="52" t="inlineStr">
        <is>
          <t>65.4 gm</t>
        </is>
      </c>
      <c r="G23" s="57" t="inlineStr">
        <is>
          <t>4 items found + weight variance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Physical Inventory Audit</t>
        </is>
      </c>
      <c r="C24" s="50" t="inlineStr">
        <is>
          <t>/gold-erp/physical-audit</t>
        </is>
      </c>
      <c r="D24" s="51" t="inlineStr">
        <is>
          <t>ASSERT</t>
        </is>
      </c>
      <c r="E24" s="50" t="inlineStr">
        <is>
          <t>Discrepancy</t>
        </is>
      </c>
      <c r="F24" s="52" t="inlineStr">
        <is>
          <t>4.3 gm (4.2 missing + 0.1 variance)</t>
        </is>
      </c>
      <c r="G24" s="57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Physical Inventory Audit</t>
        </is>
      </c>
      <c r="C25" s="50" t="inlineStr">
        <is>
          <t>/gold-erp/physical-audit</t>
        </is>
      </c>
      <c r="D25" s="51" t="inlineStr">
        <is>
          <t>ASSERT</t>
        </is>
      </c>
      <c r="E25" s="50" t="inlineStr">
        <is>
          <t>Discrepancy Value (auto)</t>
        </is>
      </c>
      <c r="F25" s="52" t="inlineStr">
        <is>
          <t>₹24,252</t>
        </is>
      </c>
      <c r="G25" s="57" t="inlineStr">
        <is>
          <t>4.2gm × ₹5,640 (18K rate) + 0.1 × ₹6,249</t>
        </is>
      </c>
      <c r="H25" s="50" t="inlineStr"/>
      <c r="I25" s="53" t="inlineStr"/>
      <c r="J25" s="50" t="inlineStr"/>
    </row>
    <row r="26" ht="32" customHeight="1">
      <c r="A26" s="47" t="n">
        <v>22</v>
      </c>
      <c r="B26" s="50" t="inlineStr">
        <is>
          <t>Physical Inventory Audit</t>
        </is>
      </c>
      <c r="C26" s="50" t="inlineStr">
        <is>
          <t>/gold-erp/physical-audit</t>
        </is>
      </c>
      <c r="D26" s="51" t="inlineStr">
        <is>
          <t>ASSERT</t>
        </is>
      </c>
      <c r="E26" s="50" t="inlineStr">
        <is>
          <t>Shrinkage Alert</t>
        </is>
      </c>
      <c r="F26" s="52" t="inlineStr">
        <is>
          <t>⚠ ALERT: 6.2% discrepancy &gt; 0.1% threshold</t>
        </is>
      </c>
      <c r="G26" s="57" t="inlineStr">
        <is>
          <t>Red alert triggered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Physical Inventory Audit</t>
        </is>
      </c>
      <c r="C27" s="50" t="inlineStr">
        <is>
          <t>/gold-erp/physical-audit</t>
        </is>
      </c>
      <c r="D27" s="55" t="inlineStr">
        <is>
          <t>CLICK</t>
        </is>
      </c>
      <c r="E27" s="50" t="inlineStr">
        <is>
          <t>Mark DT-0044 for Investigation</t>
        </is>
      </c>
      <c r="F27" s="52" t="inlineStr"/>
      <c r="G27" s="52" t="inlineStr">
        <is>
          <t>Item tagged as Under Investigation in inventory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Physical Inventory Audit</t>
        </is>
      </c>
      <c r="C28" s="50" t="inlineStr">
        <is>
          <t>/gold-erp/physical-audit</t>
        </is>
      </c>
      <c r="D28" s="51" t="inlineStr">
        <is>
          <t>ASSERT</t>
        </is>
      </c>
      <c r="E28" s="50" t="inlineStr">
        <is>
          <t>DT-0044 status</t>
        </is>
      </c>
      <c r="F28" s="52" t="inlineStr">
        <is>
          <t>Under Investigation</t>
        </is>
      </c>
      <c r="G28" s="57" t="inlineStr">
        <is>
          <t>Not Available for sale until resolved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Physical Inventory Audit</t>
        </is>
      </c>
      <c r="C29" s="50" t="inlineStr">
        <is>
          <t>/gold-erp/physical-audit</t>
        </is>
      </c>
      <c r="D29" s="51" t="inlineStr">
        <is>
          <t>ASSERT</t>
        </is>
      </c>
      <c r="E29" s="50" t="inlineStr">
        <is>
          <t>Audit Manager Sign-off required</t>
        </is>
      </c>
      <c r="F29" s="52" t="inlineStr">
        <is>
          <t>Cannot close without manager approval</t>
        </is>
      </c>
      <c r="G29" s="57" t="inlineStr">
        <is>
          <t>Prevent casual audit closure</t>
        </is>
      </c>
      <c r="H29" s="50" t="inlineStr"/>
      <c r="I29" s="53" t="inlineStr"/>
      <c r="J29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7: Karigar Settlement — Math Verification (Happy + Negative)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Verify settlement calculations: allowance check, excess wastage deduction, negative payable edge case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F7</t>
        </is>
      </c>
      <c r="C3" s="47" t="inlineStr">
        <is>
          <t>Steps</t>
        </is>
      </c>
      <c r="D3" s="48" t="n">
        <v>26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IF(I4="","—",TEXT(COUNTIF(I5:I200,"PASS")/COUNTA(I5:I200),"0%"))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PURPOSE</t>
        </is>
      </c>
      <c r="F5" s="52" t="inlineStr"/>
      <c r="G5" s="52" t="inlineStr">
        <is>
          <t>This flow tests the settlement calculation logic — run AFTER Flow 1 for baseline. Then test negative cases separately.</t>
        </is>
      </c>
      <c r="H5" s="50" t="inlineStr"/>
      <c r="I5" s="53" t="inlineStr"/>
      <c r="J5" s="50" t="inlineStr"/>
    </row>
    <row r="6" ht="18" customHeight="1">
      <c r="A6" s="47" t="n">
        <v>2</v>
      </c>
      <c r="B6" s="50" t="inlineStr"/>
      <c r="C6" s="50" t="inlineStr"/>
      <c r="D6" s="58" t="inlineStr">
        <is>
          <t>NOTE</t>
        </is>
      </c>
      <c r="E6" s="50" t="inlineStr">
        <is>
          <t>HAPPY PATH</t>
        </is>
      </c>
      <c r="F6" s="52" t="inlineStr"/>
      <c r="G6" s="52" t="inlineStr">
        <is>
          <t>Gold issued: 17.0gm | Piece: 16.2gm | Wastage: 0.6gm → Within allowance → No deduction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Karigar Settlement</t>
        </is>
      </c>
      <c r="C7" s="50" t="inlineStr">
        <is>
          <t>/gold-erp/karigar-settlement</t>
        </is>
      </c>
      <c r="D7" s="54" t="inlineStr">
        <is>
          <t>NAVIGATE</t>
        </is>
      </c>
      <c r="E7" s="50" t="inlineStr"/>
      <c r="F7" s="52" t="inlineStr"/>
      <c r="G7" s="52" t="inlineStr">
        <is>
          <t>Settlement screen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Karigar Settlement</t>
        </is>
      </c>
      <c r="C8" s="50" t="inlineStr">
        <is>
          <t>/gold-erp/karigar-settlement</t>
        </is>
      </c>
      <c r="D8" s="56" t="inlineStr">
        <is>
          <t>ENTER</t>
        </is>
      </c>
      <c r="E8" s="50" t="inlineStr">
        <is>
          <t>Production Order</t>
        </is>
      </c>
      <c r="F8" s="52" t="inlineStr">
        <is>
          <t>PO-2024-0001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Karigar Settlement</t>
        </is>
      </c>
      <c r="C9" s="50" t="inlineStr">
        <is>
          <t>/gold-erp/karigar-settlement</t>
        </is>
      </c>
      <c r="D9" s="51" t="inlineStr">
        <is>
          <t>ASSERT</t>
        </is>
      </c>
      <c r="E9" s="50" t="inlineStr">
        <is>
          <t>Gold Issued (auto)</t>
        </is>
      </c>
      <c r="F9" s="52" t="inlineStr">
        <is>
          <t>17.0 gm</t>
        </is>
      </c>
      <c r="G9" s="57" t="inlineStr">
        <is>
          <t>From karigar material ledger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Karigar Settlement</t>
        </is>
      </c>
      <c r="C10" s="50" t="inlineStr">
        <is>
          <t>/gold-erp/karigar-settlement</t>
        </is>
      </c>
      <c r="D10" s="51" t="inlineStr">
        <is>
          <t>ASSERT</t>
        </is>
      </c>
      <c r="E10" s="50" t="inlineStr">
        <is>
          <t>Gold in Piece (auto)</t>
        </is>
      </c>
      <c r="F10" s="52" t="inlineStr">
        <is>
          <t>16.2 gm</t>
        </is>
      </c>
      <c r="G10" s="57" t="inlineStr">
        <is>
          <t>From job finalize record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Karigar Settlement</t>
        </is>
      </c>
      <c r="C11" s="50" t="inlineStr">
        <is>
          <t>/gold-erp/karigar-settlement</t>
        </is>
      </c>
      <c r="D11" s="56" t="inlineStr">
        <is>
          <t>ENTER</t>
        </is>
      </c>
      <c r="E11" s="50" t="inlineStr">
        <is>
          <t>Wastage Collected (gm)</t>
        </is>
      </c>
      <c r="F11" s="52" t="inlineStr">
        <is>
          <t>0.6</t>
        </is>
      </c>
      <c r="G11" s="52" t="inlineStr">
        <is>
          <t>Enter manually after weighing dust bag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Karigar Settlement</t>
        </is>
      </c>
      <c r="C12" s="50" t="inlineStr">
        <is>
          <t>/gold-erp/karigar-settlement</t>
        </is>
      </c>
      <c r="D12" s="51" t="inlineStr">
        <is>
          <t>ASSERT</t>
        </is>
      </c>
      <c r="E12" s="50" t="inlineStr">
        <is>
          <t>Total Accounted (auto)</t>
        </is>
      </c>
      <c r="F12" s="52" t="inlineStr">
        <is>
          <t>16.8 gm</t>
        </is>
      </c>
      <c r="G12" s="57" t="inlineStr">
        <is>
          <t>16.2 + 0.6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Karigar Settlement</t>
        </is>
      </c>
      <c r="C13" s="50" t="inlineStr">
        <is>
          <t>/gold-erp/karigar-settlement</t>
        </is>
      </c>
      <c r="D13" s="51" t="inlineStr">
        <is>
          <t>ASSERT</t>
        </is>
      </c>
      <c r="E13" s="50" t="inlineStr">
        <is>
          <t>Unaccounted (auto)</t>
        </is>
      </c>
      <c r="F13" s="52" t="inlineStr">
        <is>
          <t>0.2 gm</t>
        </is>
      </c>
      <c r="G13" s="57" t="inlineStr">
        <is>
          <t>17.0 − 16.8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Karigar Settlement</t>
        </is>
      </c>
      <c r="C14" s="50" t="inlineStr">
        <is>
          <t>/gold-erp/karigar-settlement</t>
        </is>
      </c>
      <c r="D14" s="51" t="inlineStr">
        <is>
          <t>ASSERT</t>
        </is>
      </c>
      <c r="E14" s="50" t="inlineStr">
        <is>
          <t>Allowed Wastage (auto)</t>
        </is>
      </c>
      <c r="F14" s="52" t="inlineStr">
        <is>
          <t>0.85 gm</t>
        </is>
      </c>
      <c r="G14" s="57" t="inlineStr">
        <is>
          <t>5% × 17.0 gm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Karigar Settlement</t>
        </is>
      </c>
      <c r="C15" s="50" t="inlineStr">
        <is>
          <t>/gold-erp/karigar-settlement</t>
        </is>
      </c>
      <c r="D15" s="51" t="inlineStr">
        <is>
          <t>ASSERT</t>
        </is>
      </c>
      <c r="E15" s="50" t="inlineStr">
        <is>
          <t>Total Wastage (auto)</t>
        </is>
      </c>
      <c r="F15" s="52" t="inlineStr">
        <is>
          <t>0.8 gm</t>
        </is>
      </c>
      <c r="G15" s="57" t="inlineStr">
        <is>
          <t>0.6 + 0.2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Karigar Settlement</t>
        </is>
      </c>
      <c r="C16" s="50" t="inlineStr">
        <is>
          <t>/gold-erp/karigar-settlement</t>
        </is>
      </c>
      <c r="D16" s="51" t="inlineStr">
        <is>
          <t>ASSERT</t>
        </is>
      </c>
      <c r="E16" s="50" t="inlineStr">
        <is>
          <t>Excess Wastage</t>
        </is>
      </c>
      <c r="F16" s="52" t="inlineStr">
        <is>
          <t>0.0 gm (no excess)</t>
        </is>
      </c>
      <c r="G16" s="57" t="inlineStr">
        <is>
          <t>0.8 &lt; 0.85 — within limit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Karigar Settlement</t>
        </is>
      </c>
      <c r="C17" s="50" t="inlineStr">
        <is>
          <t>/gold-erp/karigar-settlement</t>
        </is>
      </c>
      <c r="D17" s="51" t="inlineStr">
        <is>
          <t>ASSERT</t>
        </is>
      </c>
      <c r="E17" s="50" t="inlineStr">
        <is>
          <t>Excess Deduction</t>
        </is>
      </c>
      <c r="F17" s="52" t="inlineStr">
        <is>
          <t>₹0</t>
        </is>
      </c>
      <c r="G17" s="57" t="inlineStr">
        <is>
          <t>No deduction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Karigar Settlement</t>
        </is>
      </c>
      <c r="C18" s="50" t="inlineStr">
        <is>
          <t>/gold-erp/karigar-settlement</t>
        </is>
      </c>
      <c r="D18" s="51" t="inlineStr">
        <is>
          <t>ASSERT</t>
        </is>
      </c>
      <c r="E18" s="50" t="inlineStr">
        <is>
          <t>Making Charges</t>
        </is>
      </c>
      <c r="F18" s="52" t="inlineStr">
        <is>
          <t>₹6,480</t>
        </is>
      </c>
      <c r="G18" s="57" t="inlineStr">
        <is>
          <t>16.2 × ₹400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Karigar Settlement</t>
        </is>
      </c>
      <c r="C19" s="50" t="inlineStr">
        <is>
          <t>/gold-erp/karigar-settlement</t>
        </is>
      </c>
      <c r="D19" s="51" t="inlineStr">
        <is>
          <t>ASSERT</t>
        </is>
      </c>
      <c r="E19" s="50" t="inlineStr">
        <is>
          <t>Net Payable</t>
        </is>
      </c>
      <c r="F19" s="52" t="inlineStr">
        <is>
          <t>₹6,480</t>
        </is>
      </c>
      <c r="G19" s="57" t="inlineStr">
        <is>
          <t>Making − deductions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/>
      <c r="C20" s="50" t="inlineStr"/>
      <c r="D20" s="58" t="inlineStr">
        <is>
          <t>NOTE</t>
        </is>
      </c>
      <c r="E20" s="50" t="inlineStr">
        <is>
          <t>NEGATIVE TEST — EXCESS WASTAGE</t>
        </is>
      </c>
      <c r="F20" s="52" t="inlineStr"/>
      <c r="G20" s="52" t="inlineStr">
        <is>
          <t>Now test with excessive wastage. Create PO-TEST-001 with same params but return only 13.5gm piece.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Karigar Settlement</t>
        </is>
      </c>
      <c r="C21" s="50" t="inlineStr">
        <is>
          <t>/gold-erp/karigar-settlement</t>
        </is>
      </c>
      <c r="D21" s="59" t="inlineStr">
        <is>
          <t>NEGATIVE</t>
        </is>
      </c>
      <c r="E21" s="50" t="inlineStr">
        <is>
          <t>Gold Issued</t>
        </is>
      </c>
      <c r="F21" s="52" t="inlineStr">
        <is>
          <t>17.0 gm</t>
        </is>
      </c>
      <c r="G21" s="52" t="inlineStr">
        <is>
          <t>Same as before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Karigar Settlement</t>
        </is>
      </c>
      <c r="C22" s="50" t="inlineStr">
        <is>
          <t>/gold-erp/karigar-settlement</t>
        </is>
      </c>
      <c r="D22" s="59" t="inlineStr">
        <is>
          <t>NEGATIVE</t>
        </is>
      </c>
      <c r="E22" s="50" t="inlineStr">
        <is>
          <t>Gold in Piece</t>
        </is>
      </c>
      <c r="F22" s="52" t="inlineStr">
        <is>
          <t>13.5 gm</t>
        </is>
      </c>
      <c r="G22" s="52" t="inlineStr">
        <is>
          <t>Significantly less — excess wastage scenario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Karigar Settlement</t>
        </is>
      </c>
      <c r="C23" s="50" t="inlineStr">
        <is>
          <t>/gold-erp/karigar-settlement</t>
        </is>
      </c>
      <c r="D23" s="59" t="inlineStr">
        <is>
          <t>NEGATIVE</t>
        </is>
      </c>
      <c r="E23" s="50" t="inlineStr">
        <is>
          <t>Wastage Collected (gm)</t>
        </is>
      </c>
      <c r="F23" s="52" t="inlineStr">
        <is>
          <t>2.0</t>
        </is>
      </c>
      <c r="G23" s="52" t="inlineStr">
        <is>
          <t>More than allowance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Karigar Settlement</t>
        </is>
      </c>
      <c r="C24" s="50" t="inlineStr">
        <is>
          <t>/gold-erp/karigar-settlement</t>
        </is>
      </c>
      <c r="D24" s="51" t="inlineStr">
        <is>
          <t>ASSERT</t>
        </is>
      </c>
      <c r="E24" s="50" t="inlineStr">
        <is>
          <t>Total Accounted</t>
        </is>
      </c>
      <c r="F24" s="52" t="inlineStr">
        <is>
          <t>15.5 gm</t>
        </is>
      </c>
      <c r="G24" s="57" t="inlineStr">
        <is>
          <t>13.5 + 2.0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Karigar Settlement</t>
        </is>
      </c>
      <c r="C25" s="50" t="inlineStr">
        <is>
          <t>/gold-erp/karigar-settlement</t>
        </is>
      </c>
      <c r="D25" s="51" t="inlineStr">
        <is>
          <t>ASSERT</t>
        </is>
      </c>
      <c r="E25" s="50" t="inlineStr">
        <is>
          <t>Unaccounted</t>
        </is>
      </c>
      <c r="F25" s="52" t="inlineStr">
        <is>
          <t>1.5 gm</t>
        </is>
      </c>
      <c r="G25" s="57" t="inlineStr">
        <is>
          <t>17.0 − 15.5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Karigar Settlement</t>
        </is>
      </c>
      <c r="C26" s="50" t="inlineStr">
        <is>
          <t>/gold-erp/karigar-settlement</t>
        </is>
      </c>
      <c r="D26" s="51" t="inlineStr">
        <is>
          <t>ASSERT</t>
        </is>
      </c>
      <c r="E26" s="50" t="inlineStr">
        <is>
          <t>Total Wastage</t>
        </is>
      </c>
      <c r="F26" s="52" t="inlineStr">
        <is>
          <t>3.5 gm</t>
        </is>
      </c>
      <c r="G26" s="57" t="inlineStr">
        <is>
          <t>2.0 + 1.5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Karigar Settlement</t>
        </is>
      </c>
      <c r="C27" s="50" t="inlineStr">
        <is>
          <t>/gold-erp/karigar-settlement</t>
        </is>
      </c>
      <c r="D27" s="51" t="inlineStr">
        <is>
          <t>ASSERT</t>
        </is>
      </c>
      <c r="E27" s="50" t="inlineStr">
        <is>
          <t>Excess Wastage</t>
        </is>
      </c>
      <c r="F27" s="52" t="inlineStr">
        <is>
          <t>2.65 gm</t>
        </is>
      </c>
      <c r="G27" s="57" t="inlineStr">
        <is>
          <t>3.5 − 0.85 allowed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Karigar Settlement</t>
        </is>
      </c>
      <c r="C28" s="50" t="inlineStr">
        <is>
          <t>/gold-erp/karigar-settlement</t>
        </is>
      </c>
      <c r="D28" s="51" t="inlineStr">
        <is>
          <t>ASSERT</t>
        </is>
      </c>
      <c r="E28" s="50" t="inlineStr">
        <is>
          <t>⚠ Excess Wastage Alert</t>
        </is>
      </c>
      <c r="F28" s="52" t="inlineStr">
        <is>
          <t>RED WARNING shown</t>
        </is>
      </c>
      <c r="G28" s="57" t="inlineStr">
        <is>
          <t>Alert: Excess wastage 2.65gm detected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Karigar Settlement</t>
        </is>
      </c>
      <c r="C29" s="50" t="inlineStr">
        <is>
          <t>/gold-erp/karigar-settlement</t>
        </is>
      </c>
      <c r="D29" s="51" t="inlineStr">
        <is>
          <t>ASSERT</t>
        </is>
      </c>
      <c r="E29" s="50" t="inlineStr">
        <is>
          <t>Excess Deduction (auto)</t>
        </is>
      </c>
      <c r="F29" s="52" t="inlineStr">
        <is>
          <t>₹18,081</t>
        </is>
      </c>
      <c r="G29" s="57" t="inlineStr">
        <is>
          <t>2.65gm × ₹6,820/gm (today's 22K rate)</t>
        </is>
      </c>
      <c r="H29" s="50" t="inlineStr"/>
      <c r="I29" s="53" t="inlineStr"/>
      <c r="J29" s="50" t="inlineStr">
        <is>
          <t>Deducted from making charges</t>
        </is>
      </c>
    </row>
    <row r="30" ht="18" customHeight="1">
      <c r="A30" s="47" t="n">
        <v>26</v>
      </c>
      <c r="B30" s="50" t="inlineStr">
        <is>
          <t>Karigar Settlement</t>
        </is>
      </c>
      <c r="C30" s="50" t="inlineStr">
        <is>
          <t>/gold-erp/karigar-settlement</t>
        </is>
      </c>
      <c r="D30" s="51" t="inlineStr">
        <is>
          <t>ASSERT</t>
        </is>
      </c>
      <c r="E30" s="50" t="inlineStr">
        <is>
          <t>Net Payable (auto)</t>
        </is>
      </c>
      <c r="F30" s="52" t="inlineStr">
        <is>
          <t>₹(Deficit — deduction &gt; making)</t>
        </is>
      </c>
      <c r="G30" s="57" t="inlineStr">
        <is>
          <t>Making ₹5,400 − Deduction ₹18,081 = net owed BY karigar</t>
        </is>
      </c>
      <c r="H30" s="50" t="inlineStr"/>
      <c r="I30" s="53" t="inlineStr"/>
      <c r="J30" s="50" t="inlineStr">
        <is>
          <t>Edge case: negative payable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8: Metal Ledger End-of-Day Reconciliation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Run after Flows 1+2+5. Verify all gold movements net to correct closing balance. Check unaccounted loss and unrealised P&amp;L.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F8</t>
        </is>
      </c>
      <c r="C3" s="47" t="inlineStr">
        <is>
          <t>Steps</t>
        </is>
      </c>
      <c r="D3" s="48" t="n">
        <v>20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IF(I4="","—",TEXT(COUNTIF(I5:I200,"PASS")/COUNTA(I5:I200),"0%"))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PURPOSE</t>
        </is>
      </c>
      <c r="F5" s="52" t="inlineStr"/>
      <c r="G5" s="52" t="inlineStr">
        <is>
          <t>Verify every gram of gold is accounted for. Sum of all ledger entries should reconcile to physical gold held.</t>
        </is>
      </c>
      <c r="H5" s="50" t="inlineStr"/>
      <c r="I5" s="53" t="inlineStr"/>
      <c r="J5" s="50" t="inlineStr">
        <is>
          <t>Run this at end of day</t>
        </is>
      </c>
    </row>
    <row r="6" ht="18" customHeight="1">
      <c r="A6" s="47" t="n">
        <v>2</v>
      </c>
      <c r="B6" s="50" t="inlineStr">
        <is>
          <t>Metal Ledger</t>
        </is>
      </c>
      <c r="C6" s="50" t="inlineStr">
        <is>
          <t>/gold-erp/metal-ledger</t>
        </is>
      </c>
      <c r="D6" s="54" t="inlineStr">
        <is>
          <t>NAVIGATE</t>
        </is>
      </c>
      <c r="E6" s="50" t="inlineStr"/>
      <c r="F6" s="52" t="inlineStr"/>
      <c r="G6" s="52" t="inlineStr">
        <is>
          <t>Metal ledger opens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Metal Ledger</t>
        </is>
      </c>
      <c r="C7" s="50" t="inlineStr">
        <is>
          <t>/gold-erp/metal-ledger</t>
        </is>
      </c>
      <c r="D7" s="51" t="inlineStr">
        <is>
          <t>ASSERT</t>
        </is>
      </c>
      <c r="E7" s="50" t="inlineStr">
        <is>
          <t>Opening Balance (22K Gold)</t>
        </is>
      </c>
      <c r="F7" s="52" t="inlineStr">
        <is>
          <t>500.0 gm</t>
        </is>
      </c>
      <c r="G7" s="57" t="inlineStr">
        <is>
          <t>Start of day balance — note this down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Metal Ledger</t>
        </is>
      </c>
      <c r="C8" s="50" t="inlineStr">
        <is>
          <t>/gold-erp/metal-ledger</t>
        </is>
      </c>
      <c r="D8" s="58" t="inlineStr">
        <is>
          <t>NOTE</t>
        </is>
      </c>
      <c r="E8" s="50" t="inlineStr">
        <is>
          <t>TRANSACTION 1</t>
        </is>
      </c>
      <c r="F8" s="52" t="inlineStr"/>
      <c r="G8" s="52" t="inlineStr">
        <is>
          <t>Purchase: 100gm 22K gold bar from supplier (use Flow 5 result)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Metal Ledger</t>
        </is>
      </c>
      <c r="C9" s="50" t="inlineStr">
        <is>
          <t>/gold-erp/metal-ledger</t>
        </is>
      </c>
      <c r="D9" s="51" t="inlineStr">
        <is>
          <t>ASSERT</t>
        </is>
      </c>
      <c r="E9" s="50" t="inlineStr">
        <is>
          <t>After Purchase entry</t>
        </is>
      </c>
      <c r="F9" s="52" t="inlineStr">
        <is>
          <t>600.0 gm</t>
        </is>
      </c>
      <c r="G9" s="57" t="inlineStr">
        <is>
          <t>500 + 100 = 600 gm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Metal Ledger</t>
        </is>
      </c>
      <c r="C10" s="50" t="inlineStr">
        <is>
          <t>/gold-erp/metal-ledger</t>
        </is>
      </c>
      <c r="D10" s="58" t="inlineStr">
        <is>
          <t>NOTE</t>
        </is>
      </c>
      <c r="E10" s="50" t="inlineStr">
        <is>
          <t>TRANSACTION 2</t>
        </is>
      </c>
      <c r="F10" s="52" t="inlineStr"/>
      <c r="G10" s="52" t="inlineStr">
        <is>
          <t>Issue 17.0gm to Raju Goldsmith for PO-2024-0001 (from Flow 1)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Metal Ledger</t>
        </is>
      </c>
      <c r="C11" s="50" t="inlineStr">
        <is>
          <t>/gold-erp/metal-ledger</t>
        </is>
      </c>
      <c r="D11" s="51" t="inlineStr">
        <is>
          <t>ASSERT</t>
        </is>
      </c>
      <c r="E11" s="50" t="inlineStr">
        <is>
          <t>After Karigar Issue</t>
        </is>
      </c>
      <c r="F11" s="52" t="inlineStr">
        <is>
          <t>583.0 gm</t>
        </is>
      </c>
      <c r="G11" s="57" t="inlineStr">
        <is>
          <t>600 − 17 = 583 gm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Metal Ledger</t>
        </is>
      </c>
      <c r="C12" s="50" t="inlineStr">
        <is>
          <t>/gold-erp/metal-ledger</t>
        </is>
      </c>
      <c r="D12" s="58" t="inlineStr">
        <is>
          <t>NOTE</t>
        </is>
      </c>
      <c r="E12" s="50" t="inlineStr">
        <is>
          <t>TRANSACTION 3</t>
        </is>
      </c>
      <c r="F12" s="52" t="inlineStr"/>
      <c r="G12" s="52" t="inlineStr">
        <is>
          <t>Karigar returns 16.2gm piece + 0.6gm wastage (settled)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Metal Ledger</t>
        </is>
      </c>
      <c r="C13" s="50" t="inlineStr">
        <is>
          <t>/gold-erp/metal-ledger</t>
        </is>
      </c>
      <c r="D13" s="51" t="inlineStr">
        <is>
          <t>ASSERT</t>
        </is>
      </c>
      <c r="E13" s="50" t="inlineStr">
        <is>
          <t>Karigar balance after settlement</t>
        </is>
      </c>
      <c r="F13" s="52" t="inlineStr">
        <is>
          <t>0.0 gm</t>
        </is>
      </c>
      <c r="G13" s="57" t="inlineStr">
        <is>
          <t>Raju Goldsmith gold in hand = zero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Metal Ledger</t>
        </is>
      </c>
      <c r="C14" s="50" t="inlineStr">
        <is>
          <t>/gold-erp/metal-ledger</t>
        </is>
      </c>
      <c r="D14" s="58" t="inlineStr">
        <is>
          <t>NOTE</t>
        </is>
      </c>
      <c r="E14" s="50" t="inlineStr">
        <is>
          <t>TRANSACTION 4</t>
        </is>
      </c>
      <c r="F14" s="52" t="inlineStr"/>
      <c r="G14" s="52" t="inlineStr">
        <is>
          <t>Sell DT-0042 necklace 16.2gm at POS (from Flow 2)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Metal Ledger</t>
        </is>
      </c>
      <c r="C15" s="50" t="inlineStr">
        <is>
          <t>/gold-erp/metal-ledger</t>
        </is>
      </c>
      <c r="D15" s="51" t="inlineStr">
        <is>
          <t>ASSERT</t>
        </is>
      </c>
      <c r="E15" s="50" t="inlineStr">
        <is>
          <t>After POS sale</t>
        </is>
      </c>
      <c r="F15" s="52" t="inlineStr">
        <is>
          <t>566.8 gm (approx)</t>
        </is>
      </c>
      <c r="G15" s="57" t="inlineStr">
        <is>
          <t>583 − 16.2 = 566.8 gm own gold + 0.6 wastage stock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Metal Ledger</t>
        </is>
      </c>
      <c r="C16" s="50" t="inlineStr">
        <is>
          <t>/gold-erp/metal-ledger</t>
        </is>
      </c>
      <c r="D16" s="51" t="inlineStr">
        <is>
          <t>ASSERT</t>
        </is>
      </c>
      <c r="E16" s="50" t="inlineStr">
        <is>
          <t>Wastage Stock</t>
        </is>
      </c>
      <c r="F16" s="52" t="inlineStr">
        <is>
          <t>0.6 gm</t>
        </is>
      </c>
      <c r="G16" s="57" t="inlineStr">
        <is>
          <t>Filed separately as recoverable wastage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Metal Ledger</t>
        </is>
      </c>
      <c r="C17" s="50" t="inlineStr">
        <is>
          <t>/gold-erp/metal-ledger</t>
        </is>
      </c>
      <c r="D17" s="51" t="inlineStr">
        <is>
          <t>ASSERT</t>
        </is>
      </c>
      <c r="E17" s="50" t="inlineStr">
        <is>
          <t>EOD Total in organisation</t>
        </is>
      </c>
      <c r="F17" s="52" t="inlineStr">
        <is>
          <t>567.2 gm</t>
        </is>
      </c>
      <c r="G17" s="57" t="inlineStr">
        <is>
          <t>566.8 (raw/finished) + 0.6 (wastage) = 567.2 gm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Metal Ledger</t>
        </is>
      </c>
      <c r="C18" s="50" t="inlineStr">
        <is>
          <t>/gold-erp/metal-ledger</t>
        </is>
      </c>
      <c r="D18" s="51" t="inlineStr">
        <is>
          <t>ASSERT</t>
        </is>
      </c>
      <c r="E18" s="50" t="inlineStr">
        <is>
          <t>EOD theoretical balance</t>
        </is>
      </c>
      <c r="F18" s="52" t="inlineStr">
        <is>
          <t>567.0 gm</t>
        </is>
      </c>
      <c r="G18" s="57" t="inlineStr">
        <is>
          <t>500 + 100 purchase − 17 issued − 0.2 unaccounted loss − 16.2 sold + 0.6 wastage = 567.2 ← check</t>
        </is>
      </c>
      <c r="H18" s="50" t="inlineStr"/>
      <c r="I18" s="53" t="inlineStr"/>
      <c r="J18" s="50" t="inlineStr">
        <is>
          <t>Verify formula</t>
        </is>
      </c>
    </row>
    <row r="19" ht="18" customHeight="1">
      <c r="A19" s="47" t="n">
        <v>15</v>
      </c>
      <c r="B19" s="50" t="inlineStr">
        <is>
          <t>Metal Ledger</t>
        </is>
      </c>
      <c r="C19" s="50" t="inlineStr">
        <is>
          <t>/gold-erp/metal-ledger</t>
        </is>
      </c>
      <c r="D19" s="51" t="inlineStr">
        <is>
          <t>ASSERT</t>
        </is>
      </c>
      <c r="E19" s="50" t="inlineStr">
        <is>
          <t>Unaccounted loss this day</t>
        </is>
      </c>
      <c r="F19" s="52" t="inlineStr">
        <is>
          <t>0.2 gm</t>
        </is>
      </c>
      <c r="G19" s="57" t="inlineStr">
        <is>
          <t>From karigar settlement — within 5% allowance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Metal Ledger</t>
        </is>
      </c>
      <c r="C20" s="50" t="inlineStr">
        <is>
          <t>/gold-erp/metal-ledger</t>
        </is>
      </c>
      <c r="D20" s="51" t="inlineStr">
        <is>
          <t>ASSERT</t>
        </is>
      </c>
      <c r="E20" s="50" t="inlineStr">
        <is>
          <t>Unaccounted loss value</t>
        </is>
      </c>
      <c r="F20" s="52" t="inlineStr">
        <is>
          <t>₹1,244</t>
        </is>
      </c>
      <c r="G20" s="57" t="inlineStr">
        <is>
          <t>0.2 × ₹6,220 (22K net rate)</t>
        </is>
      </c>
      <c r="H20" s="50" t="inlineStr"/>
      <c r="I20" s="53" t="inlineStr"/>
      <c r="J20" s="50" t="inlineStr">
        <is>
          <t>Should show in daily P&amp;L</t>
        </is>
      </c>
    </row>
    <row r="21" ht="18" customHeight="1">
      <c r="A21" s="47" t="n">
        <v>17</v>
      </c>
      <c r="B21" s="50" t="inlineStr">
        <is>
          <t>Metal Ledger</t>
        </is>
      </c>
      <c r="C21" s="50" t="inlineStr">
        <is>
          <t>/gold-erp/metal-ledger</t>
        </is>
      </c>
      <c r="D21" s="55" t="inlineStr">
        <is>
          <t>CLICK</t>
        </is>
      </c>
      <c r="E21" s="50" t="inlineStr">
        <is>
          <t>Export EOD Metal Report</t>
        </is>
      </c>
      <c r="F21" s="52" t="inlineStr"/>
      <c r="G21" s="52" t="inlineStr">
        <is>
          <t>PDF/Excel with all movements and closing balance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Metal Ledger</t>
        </is>
      </c>
      <c r="C22" s="50" t="inlineStr">
        <is>
          <t>/gold-erp/metal-ledger</t>
        </is>
      </c>
      <c r="D22" s="51" t="inlineStr">
        <is>
          <t>ASSERT</t>
        </is>
      </c>
      <c r="E22" s="50" t="inlineStr">
        <is>
          <t>Old gold purchased (from Flow 2)</t>
        </is>
      </c>
      <c r="F22" s="52" t="inlineStr">
        <is>
          <t>−10.0 gm (outflow to customer)</t>
        </is>
      </c>
      <c r="G22" s="57" t="inlineStr">
        <is>
          <t>Buy-back gold received adds to raw stock — should show separately</t>
        </is>
      </c>
      <c r="H22" s="50" t="inlineStr"/>
      <c r="I22" s="53" t="inlineStr"/>
      <c r="J22" s="50" t="inlineStr">
        <is>
          <t>Verify buy-back creates ledger entry</t>
        </is>
      </c>
    </row>
    <row r="23" ht="18" customHeight="1">
      <c r="A23" s="47" t="n">
        <v>19</v>
      </c>
      <c r="B23" s="50" t="inlineStr">
        <is>
          <t>Metal Finance / Accounting</t>
        </is>
      </c>
      <c r="C23" s="50" t="inlineStr">
        <is>
          <t>/gold-erp/metal-finance</t>
        </is>
      </c>
      <c r="D23" s="54" t="inlineStr">
        <is>
          <t>NAVIGATE</t>
        </is>
      </c>
      <c r="E23" s="50" t="inlineStr"/>
      <c r="F23" s="52" t="inlineStr"/>
      <c r="G23" s="52" t="inlineStr">
        <is>
          <t>Metal finance/accounting screen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Metal Finance / Accounting</t>
        </is>
      </c>
      <c r="C24" s="50" t="inlineStr">
        <is>
          <t>/gold-erp/metal-finance</t>
        </is>
      </c>
      <c r="D24" s="51" t="inlineStr">
        <is>
          <t>ASSERT</t>
        </is>
      </c>
      <c r="E24" s="50" t="inlineStr">
        <is>
          <t>Unrealised P&amp;L on stock</t>
        </is>
      </c>
      <c r="F24" s="52" t="inlineStr">
        <is>
          <t>Positive (if rate rose)</t>
        </is>
      </c>
      <c r="G24" s="57" t="inlineStr">
        <is>
          <t>567.2 gm × (current rate − avg purchase rate) = unrealised gain/loss</t>
        </is>
      </c>
      <c r="H24" s="50" t="inlineStr"/>
      <c r="I24" s="53" t="inlineStr"/>
      <c r="J24" s="50" t="inlineStr">
        <is>
          <t>Tests metal P&amp;L calculation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9: Hallmarking Batch — Submit, Receive HUIDs, Rejection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Submit 10 items to BIS centre → receive back 9 with HUIDs + 1 rejected → verify items unlock for sale after HUID assignment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F9</t>
        </is>
      </c>
      <c r="C3" s="47" t="inlineStr">
        <is>
          <t>Steps</t>
        </is>
      </c>
      <c r="D3" s="48" t="n">
        <v>29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32" customHeight="1">
      <c r="A5" s="47" t="n">
        <v>1</v>
      </c>
      <c r="B5" s="50" t="inlineStr">
        <is>
          <t>Item Master</t>
        </is>
      </c>
      <c r="C5" s="50" t="inlineStr">
        <is>
          <t>/gold-erp/items</t>
        </is>
      </c>
      <c r="D5" s="51" t="inlineStr">
        <is>
          <t>SETUP</t>
        </is>
      </c>
      <c r="E5" s="50" t="inlineStr">
        <is>
          <t>Pre-condition</t>
        </is>
      </c>
      <c r="F5" s="52" t="inlineStr">
        <is>
          <t>10 finished items DT-0050 to DT-0059 in inventory, all without HUID</t>
        </is>
      </c>
      <c r="G5" s="52" t="inlineStr">
        <is>
          <t>Items visible in list with HUID = blank</t>
        </is>
      </c>
      <c r="H5" s="50" t="inlineStr"/>
      <c r="I5" s="53" t="inlineStr"/>
      <c r="J5" s="50" t="inlineStr">
        <is>
          <t>Create via production or manually add</t>
        </is>
      </c>
    </row>
    <row r="6" ht="18" customHeight="1">
      <c r="A6" s="47" t="n">
        <v>2</v>
      </c>
      <c r="B6" s="50" t="inlineStr">
        <is>
          <t>Hallmarking Batches</t>
        </is>
      </c>
      <c r="C6" s="50" t="inlineStr">
        <is>
          <t>/gold-erp/hallmarking-batches</t>
        </is>
      </c>
      <c r="D6" s="54" t="inlineStr">
        <is>
          <t>NAVIGATE</t>
        </is>
      </c>
      <c r="E6" s="50" t="inlineStr"/>
      <c r="F6" s="52" t="inlineStr"/>
      <c r="G6" s="52" t="inlineStr">
        <is>
          <t>Hallmarking batches list opens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Hallmarking Batches</t>
        </is>
      </c>
      <c r="C7" s="50" t="inlineStr">
        <is>
          <t>/gold-erp/hallmarking-batches</t>
        </is>
      </c>
      <c r="D7" s="55" t="inlineStr">
        <is>
          <t>CLICK</t>
        </is>
      </c>
      <c r="E7" s="50" t="inlineStr">
        <is>
          <t>+ Submit New Batch</t>
        </is>
      </c>
      <c r="F7" s="52" t="inlineStr"/>
      <c r="G7" s="52" t="inlineStr">
        <is>
          <t>Batch submission form opens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Hallmarking Batches</t>
        </is>
      </c>
      <c r="C8" s="50" t="inlineStr">
        <is>
          <t>/gold-erp/hallmarking-batches</t>
        </is>
      </c>
      <c r="D8" s="56" t="inlineStr">
        <is>
          <t>ENTER</t>
        </is>
      </c>
      <c r="E8" s="50" t="inlineStr">
        <is>
          <t>BIS Centre Name</t>
        </is>
      </c>
      <c r="F8" s="52" t="inlineStr">
        <is>
          <t>Hyderabad BIS Hallmarking Centre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Hallmarking Batches</t>
        </is>
      </c>
      <c r="C9" s="50" t="inlineStr">
        <is>
          <t>/gold-erp/hallmarking-batches</t>
        </is>
      </c>
      <c r="D9" s="56" t="inlineStr">
        <is>
          <t>ENTER</t>
        </is>
      </c>
      <c r="E9" s="50" t="inlineStr">
        <is>
          <t>BIS Licence No</t>
        </is>
      </c>
      <c r="F9" s="52" t="inlineStr">
        <is>
          <t>BIS/HM/2024/HYDER/001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Hallmarking Batches</t>
        </is>
      </c>
      <c r="C10" s="50" t="inlineStr">
        <is>
          <t>/gold-erp/hallmarking-batches</t>
        </is>
      </c>
      <c r="D10" s="56" t="inlineStr">
        <is>
          <t>ENTER</t>
        </is>
      </c>
      <c r="E10" s="50" t="inlineStr">
        <is>
          <t>Date Submitted</t>
        </is>
      </c>
      <c r="F10" s="52" t="inlineStr">
        <is>
          <t>Today's date</t>
        </is>
      </c>
      <c r="G10" s="52" t="inlineStr"/>
      <c r="H10" s="50" t="inlineStr"/>
      <c r="I10" s="53" t="inlineStr"/>
      <c r="J10" s="50" t="inlineStr"/>
    </row>
    <row r="11" ht="46" customHeight="1">
      <c r="A11" s="47" t="n">
        <v>7</v>
      </c>
      <c r="B11" s="50" t="inlineStr">
        <is>
          <t>Hallmarking Batches</t>
        </is>
      </c>
      <c r="C11" s="50" t="inlineStr">
        <is>
          <t>/gold-erp/hallmarking-batches</t>
        </is>
      </c>
      <c r="D11" s="56" t="inlineStr">
        <is>
          <t>ENTER</t>
        </is>
      </c>
      <c r="E11" s="50" t="inlineStr">
        <is>
          <t>Items to submit</t>
        </is>
      </c>
      <c r="F11" s="52" t="inlineStr">
        <is>
          <t>DT-0050, DT-0051, DT-0052, DT-0053, DT-0054, DT-0055, DT-0056, DT-0057, DT-0058, DT-0059</t>
        </is>
      </c>
      <c r="G11" s="52" t="inlineStr">
        <is>
          <t>Scan or multi-select 10 items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Hallmarking Batches</t>
        </is>
      </c>
      <c r="C12" s="50" t="inlineStr">
        <is>
          <t>/gold-erp/hallmarking-batches</t>
        </is>
      </c>
      <c r="D12" s="51" t="inlineStr">
        <is>
          <t>ASSERT</t>
        </is>
      </c>
      <c r="E12" s="50" t="inlineStr">
        <is>
          <t>Batch total</t>
        </is>
      </c>
      <c r="F12" s="52" t="inlineStr">
        <is>
          <t>10 items | 95.4 gm total</t>
        </is>
      </c>
      <c r="G12" s="57" t="inlineStr">
        <is>
          <t>Sum of all item weights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Hallmarking Batches</t>
        </is>
      </c>
      <c r="C13" s="50" t="inlineStr">
        <is>
          <t>/gold-erp/hallmarking-batches</t>
        </is>
      </c>
      <c r="D13" s="55" t="inlineStr">
        <is>
          <t>CLICK</t>
        </is>
      </c>
      <c r="E13" s="50" t="inlineStr">
        <is>
          <t>Save &amp; Submit Batch</t>
        </is>
      </c>
      <c r="F13" s="52" t="inlineStr"/>
      <c r="G13" s="52" t="inlineStr">
        <is>
          <t>Batch HM-BATCH-001 created. Status: Submitted.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Hallmarking Batches</t>
        </is>
      </c>
      <c r="C14" s="50" t="inlineStr">
        <is>
          <t>/gold-erp/hallmarking-batches</t>
        </is>
      </c>
      <c r="D14" s="51" t="inlineStr">
        <is>
          <t>ASSERT</t>
        </is>
      </c>
      <c r="E14" s="50" t="inlineStr">
        <is>
          <t>Item status (all 10)</t>
        </is>
      </c>
      <c r="F14" s="52" t="inlineStr">
        <is>
          <t>Sent for Hallmarking</t>
        </is>
      </c>
      <c r="G14" s="57" t="inlineStr">
        <is>
          <t>Items cannot be sold while at hallmarking centre</t>
        </is>
      </c>
      <c r="H14" s="50" t="inlineStr"/>
      <c r="I14" s="53" t="inlineStr"/>
      <c r="J14" s="50" t="inlineStr">
        <is>
          <t>CRITICAL: verify sale blocked</t>
        </is>
      </c>
    </row>
    <row r="15" ht="18" customHeight="1">
      <c r="A15" s="47" t="n">
        <v>11</v>
      </c>
      <c r="B15" s="50" t="inlineStr">
        <is>
          <t>Item Master</t>
        </is>
      </c>
      <c r="C15" s="50" t="inlineStr">
        <is>
          <t>/gold-erp/items</t>
        </is>
      </c>
      <c r="D15" s="51" t="inlineStr">
        <is>
          <t>ASSERT</t>
        </is>
      </c>
      <c r="E15" s="50" t="inlineStr">
        <is>
          <t>DT-0050 available for sale</t>
        </is>
      </c>
      <c r="F15" s="52" t="inlineStr">
        <is>
          <t>NO — greyed out</t>
        </is>
      </c>
      <c r="G15" s="57" t="inlineStr">
        <is>
          <t>Blocked until HUID received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Hallmarking Batches</t>
        </is>
      </c>
      <c r="C16" s="50" t="inlineStr">
        <is>
          <t>/gold-erp/hallmarking-batches</t>
        </is>
      </c>
      <c r="D16" s="58" t="inlineStr">
        <is>
          <t>NOTE</t>
        </is>
      </c>
      <c r="E16" s="50" t="inlineStr">
        <is>
          <t>— Simulate 3 days later — batch received back —</t>
        </is>
      </c>
      <c r="F16" s="52" t="inlineStr"/>
      <c r="G16" s="52" t="inlineStr">
        <is>
          <t>9 items passed, 1 rejected (DT-0054 purity below spec)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Hallmarking Batches</t>
        </is>
      </c>
      <c r="C17" s="50" t="inlineStr">
        <is>
          <t>/gold-erp/hallmarking-batches</t>
        </is>
      </c>
      <c r="D17" s="55" t="inlineStr">
        <is>
          <t>CLICK</t>
        </is>
      </c>
      <c r="E17" s="50" t="inlineStr">
        <is>
          <t>Record Receipt — HM-BATCH-001</t>
        </is>
      </c>
      <c r="F17" s="52" t="inlineStr"/>
      <c r="G17" s="52" t="inlineStr">
        <is>
          <t>Receipt form opens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Hallmarking Batches</t>
        </is>
      </c>
      <c r="C18" s="50" t="inlineStr">
        <is>
          <t>/gold-erp/hallmarking-batches</t>
        </is>
      </c>
      <c r="D18" s="56" t="inlineStr">
        <is>
          <t>ENTER</t>
        </is>
      </c>
      <c r="E18" s="50" t="inlineStr">
        <is>
          <t>Date Received</t>
        </is>
      </c>
      <c r="F18" s="52" t="inlineStr">
        <is>
          <t>Today + 3 days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Hallmarking Batches</t>
        </is>
      </c>
      <c r="C19" s="50" t="inlineStr">
        <is>
          <t>/gold-erp/hallmarking-batches</t>
        </is>
      </c>
      <c r="D19" s="56" t="inlineStr">
        <is>
          <t>ENTER</t>
        </is>
      </c>
      <c r="E19" s="50" t="inlineStr">
        <is>
          <t>BIS Certificate No</t>
        </is>
      </c>
      <c r="F19" s="52" t="inlineStr">
        <is>
          <t>BIS-CERT-2024-44521</t>
        </is>
      </c>
      <c r="G19" s="52" t="inlineStr"/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Hallmarking Batches</t>
        </is>
      </c>
      <c r="C20" s="50" t="inlineStr">
        <is>
          <t>/gold-erp/hallmarking-batches</t>
        </is>
      </c>
      <c r="D20" s="56" t="inlineStr">
        <is>
          <t>ENTER</t>
        </is>
      </c>
      <c r="E20" s="50" t="inlineStr">
        <is>
          <t>DT-0050 — HUID</t>
        </is>
      </c>
      <c r="F20" s="52" t="inlineStr">
        <is>
          <t>IN00125000</t>
        </is>
      </c>
      <c r="G20" s="52" t="inlineStr">
        <is>
          <t>Enter HUID for each passed item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Hallmarking Batches</t>
        </is>
      </c>
      <c r="C21" s="50" t="inlineStr">
        <is>
          <t>/gold-erp/hallmarking-batches</t>
        </is>
      </c>
      <c r="D21" s="56" t="inlineStr">
        <is>
          <t>ENTER</t>
        </is>
      </c>
      <c r="E21" s="50" t="inlineStr">
        <is>
          <t>DT-0051 — HUID</t>
        </is>
      </c>
      <c r="F21" s="52" t="inlineStr">
        <is>
          <t>IN00125001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Hallmarking Batches</t>
        </is>
      </c>
      <c r="C22" s="50" t="inlineStr">
        <is>
          <t>/gold-erp/hallmarking-batches</t>
        </is>
      </c>
      <c r="D22" s="56" t="inlineStr">
        <is>
          <t>ENTER</t>
        </is>
      </c>
      <c r="E22" s="50" t="inlineStr">
        <is>
          <t>DT-0052 — HUID</t>
        </is>
      </c>
      <c r="F22" s="52" t="inlineStr">
        <is>
          <t>IN00125002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Hallmarking Batches</t>
        </is>
      </c>
      <c r="C23" s="50" t="inlineStr">
        <is>
          <t>/gold-erp/hallmarking-batches</t>
        </is>
      </c>
      <c r="D23" s="56" t="inlineStr">
        <is>
          <t>ENTER</t>
        </is>
      </c>
      <c r="E23" s="50" t="inlineStr">
        <is>
          <t>DT-0053 — HUID</t>
        </is>
      </c>
      <c r="F23" s="52" t="inlineStr">
        <is>
          <t>IN00125003</t>
        </is>
      </c>
      <c r="G23" s="52" t="inlineStr"/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Hallmarking Batches</t>
        </is>
      </c>
      <c r="C24" s="50" t="inlineStr">
        <is>
          <t>/gold-erp/hallmarking-batches</t>
        </is>
      </c>
      <c r="D24" s="56" t="inlineStr">
        <is>
          <t>ENTER</t>
        </is>
      </c>
      <c r="E24" s="50" t="inlineStr">
        <is>
          <t>DT-0054 — Status</t>
        </is>
      </c>
      <c r="F24" s="52" t="inlineStr">
        <is>
          <t>REJECTED</t>
        </is>
      </c>
      <c r="G24" s="52" t="inlineStr">
        <is>
          <t>Purity below 22K threshold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Hallmarking Batches</t>
        </is>
      </c>
      <c r="C25" s="50" t="inlineStr">
        <is>
          <t>/gold-erp/hallmarking-batches</t>
        </is>
      </c>
      <c r="D25" s="56" t="inlineStr">
        <is>
          <t>ENTER</t>
        </is>
      </c>
      <c r="E25" s="50" t="inlineStr">
        <is>
          <t>DT-0054 — Rejection Reason</t>
        </is>
      </c>
      <c r="F25" s="52" t="inlineStr">
        <is>
          <t>Purity 89.2% — below 91.6% required</t>
        </is>
      </c>
      <c r="G25" s="52" t="inlineStr"/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Hallmarking Batches</t>
        </is>
      </c>
      <c r="C26" s="50" t="inlineStr">
        <is>
          <t>/gold-erp/hallmarking-batches</t>
        </is>
      </c>
      <c r="D26" s="56" t="inlineStr">
        <is>
          <t>ENTER</t>
        </is>
      </c>
      <c r="E26" s="50" t="inlineStr">
        <is>
          <t>DT-0055 to DT-0059 — HUIDs</t>
        </is>
      </c>
      <c r="F26" s="52" t="inlineStr">
        <is>
          <t>IN00125004 to IN00125008</t>
        </is>
      </c>
      <c r="G26" s="52" t="inlineStr">
        <is>
          <t>Bulk entry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Hallmarking Batches</t>
        </is>
      </c>
      <c r="C27" s="50" t="inlineStr">
        <is>
          <t>/gold-erp/hallmarking-batches</t>
        </is>
      </c>
      <c r="D27" s="55" t="inlineStr">
        <is>
          <t>CLICK</t>
        </is>
      </c>
      <c r="E27" s="50" t="inlineStr">
        <is>
          <t>Save Receipt</t>
        </is>
      </c>
      <c r="F27" s="52" t="inlineStr"/>
      <c r="G27" s="52" t="inlineStr">
        <is>
          <t>Batch closed. 9 passed, 1 rejected.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BIS Hallmarking</t>
        </is>
      </c>
      <c r="C28" s="50" t="inlineStr">
        <is>
          <t>/gold-erp/bis-hallmarking</t>
        </is>
      </c>
      <c r="D28" s="54" t="inlineStr">
        <is>
          <t>NAVIGATE</t>
        </is>
      </c>
      <c r="E28" s="50" t="inlineStr"/>
      <c r="F28" s="52" t="inlineStr"/>
      <c r="G28" s="52" t="inlineStr">
        <is>
          <t>BIS hallmarking individual records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BIS Hallmarking</t>
        </is>
      </c>
      <c r="C29" s="50" t="inlineStr">
        <is>
          <t>/gold-erp/bis-hallmarking</t>
        </is>
      </c>
      <c r="D29" s="51" t="inlineStr">
        <is>
          <t>ASSERT</t>
        </is>
      </c>
      <c r="E29" s="50" t="inlineStr">
        <is>
          <t>DT-0050 HUID</t>
        </is>
      </c>
      <c r="F29" s="52" t="inlineStr">
        <is>
          <t>IN00125000</t>
        </is>
      </c>
      <c r="G29" s="57" t="inlineStr">
        <is>
          <t>HUID auto-linked from batch receipt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BIS Hallmarking</t>
        </is>
      </c>
      <c r="C30" s="50" t="inlineStr">
        <is>
          <t>/gold-erp/bis-hallmarking</t>
        </is>
      </c>
      <c r="D30" s="51" t="inlineStr">
        <is>
          <t>ASSERT</t>
        </is>
      </c>
      <c r="E30" s="50" t="inlineStr">
        <is>
          <t>DT-0050 available for sale</t>
        </is>
      </c>
      <c r="F30" s="52" t="inlineStr">
        <is>
          <t>YES — available</t>
        </is>
      </c>
      <c r="G30" s="57" t="inlineStr">
        <is>
          <t>HUID present → item unlocked for sale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BIS Hallmarking</t>
        </is>
      </c>
      <c r="C31" s="50" t="inlineStr">
        <is>
          <t>/gold-erp/bis-hallmarking</t>
        </is>
      </c>
      <c r="D31" s="51" t="inlineStr">
        <is>
          <t>ASSERT</t>
        </is>
      </c>
      <c r="E31" s="50" t="inlineStr">
        <is>
          <t>DT-0054 status</t>
        </is>
      </c>
      <c r="F31" s="52" t="inlineStr">
        <is>
          <t>Rejected — Pending Re-assay</t>
        </is>
      </c>
      <c r="G31" s="57" t="inlineStr">
        <is>
          <t>Cannot be sold or hallmarked again until fixed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BIS Hallmarking</t>
        </is>
      </c>
      <c r="C32" s="50" t="inlineStr">
        <is>
          <t>/gold-erp/bis-hallmarking</t>
        </is>
      </c>
      <c r="D32" s="51" t="inlineStr">
        <is>
          <t>ASSERT</t>
        </is>
      </c>
      <c r="E32" s="50" t="inlineStr">
        <is>
          <t>Hallmarking cost auto-calc</t>
        </is>
      </c>
      <c r="F32" s="52" t="inlineStr">
        <is>
          <t>₹180</t>
        </is>
      </c>
      <c r="G32" s="57" t="inlineStr">
        <is>
          <t>9 passed × ₹20/item hallmarking charge</t>
        </is>
      </c>
      <c r="H32" s="50" t="inlineStr"/>
      <c r="I32" s="53" t="inlineStr"/>
      <c r="J32" s="50" t="inlineStr">
        <is>
          <t>Verify cost tracking</t>
        </is>
      </c>
    </row>
    <row r="33" ht="18" customHeight="1">
      <c r="A33" s="47" t="n">
        <v>29</v>
      </c>
      <c r="B33" s="50" t="inlineStr">
        <is>
          <t>Hallmarking Batches</t>
        </is>
      </c>
      <c r="C33" s="50" t="inlineStr">
        <is>
          <t>/gold-erp/hallmarking-batches</t>
        </is>
      </c>
      <c r="D33" s="51" t="inlineStr">
        <is>
          <t>ASSERT</t>
        </is>
      </c>
      <c r="E33" s="50" t="inlineStr">
        <is>
          <t>Batch HM-BATCH-001 status</t>
        </is>
      </c>
      <c r="F33" s="52" t="inlineStr">
        <is>
          <t>Completed (9/10)</t>
        </is>
      </c>
      <c r="G33" s="57" t="inlineStr">
        <is>
          <t>1 rejection shown prominently</t>
        </is>
      </c>
      <c r="H33" s="50" t="inlineStr"/>
      <c r="I33" s="53" t="inlineStr"/>
      <c r="J33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10: RFID Full Cycle — Tag, Scan, Dispatch Validate, Anti-Theft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Encode 5 RFID tags → bulk scan (1 missing) → dispatch validation (extra item alert) → anti-theft gate alert simulation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F10</t>
        </is>
      </c>
      <c r="C3" s="47" t="inlineStr">
        <is>
          <t>Steps</t>
        </is>
      </c>
      <c r="D3" s="48" t="n">
        <v>32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32" customHeight="1">
      <c r="A5" s="47" t="n">
        <v>1</v>
      </c>
      <c r="B5" s="50" t="inlineStr">
        <is>
          <t>RFID Tags &amp; Security</t>
        </is>
      </c>
      <c r="C5" s="50" t="inlineStr">
        <is>
          <t>/gold-erp/rfid</t>
        </is>
      </c>
      <c r="D5" s="51" t="inlineStr">
        <is>
          <t>SETUP</t>
        </is>
      </c>
      <c r="E5" s="50" t="inlineStr">
        <is>
          <t>Pre-condition</t>
        </is>
      </c>
      <c r="F5" s="52" t="inlineStr">
        <is>
          <t>Items DT-0042 to DT-0046 in stock with HUIDs assigned</t>
        </is>
      </c>
      <c r="G5" s="52" t="inlineStr">
        <is>
          <t>All 5 items visible without RFID tag</t>
        </is>
      </c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RFID Tags &amp; Security</t>
        </is>
      </c>
      <c r="C6" s="50" t="inlineStr">
        <is>
          <t>/gold-erp/rfid</t>
        </is>
      </c>
      <c r="D6" s="54" t="inlineStr">
        <is>
          <t>NAVIGATE</t>
        </is>
      </c>
      <c r="E6" s="50" t="inlineStr"/>
      <c r="F6" s="52" t="inlineStr"/>
      <c r="G6" s="52" t="inlineStr">
        <is>
          <t>RFID screen opens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RFID Tags &amp; Security</t>
        </is>
      </c>
      <c r="C7" s="50" t="inlineStr">
        <is>
          <t>/gold-erp/rfid</t>
        </is>
      </c>
      <c r="D7" s="3" t="inlineStr">
        <is>
          <t>SECTION</t>
        </is>
      </c>
      <c r="E7" s="50" t="inlineStr">
        <is>
          <t>— RFID Tagging —</t>
        </is>
      </c>
      <c r="F7" s="52" t="inlineStr"/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RFID Tags &amp; Security</t>
        </is>
      </c>
      <c r="C8" s="50" t="inlineStr">
        <is>
          <t>/gold-erp/rfid</t>
        </is>
      </c>
      <c r="D8" s="55" t="inlineStr">
        <is>
          <t>CLICK</t>
        </is>
      </c>
      <c r="E8" s="50" t="inlineStr">
        <is>
          <t>+ Encode New Tag</t>
        </is>
      </c>
      <c r="F8" s="52" t="inlineStr"/>
      <c r="G8" s="52" t="inlineStr">
        <is>
          <t>Tag encoding form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RFID Tags &amp; Security</t>
        </is>
      </c>
      <c r="C9" s="50" t="inlineStr">
        <is>
          <t>/gold-erp/rfid</t>
        </is>
      </c>
      <c r="D9" s="56" t="inlineStr">
        <is>
          <t>ENTER</t>
        </is>
      </c>
      <c r="E9" s="50" t="inlineStr">
        <is>
          <t>Item Tag No</t>
        </is>
      </c>
      <c r="F9" s="52" t="inlineStr">
        <is>
          <t>DT-0042</t>
        </is>
      </c>
      <c r="G9" s="52" t="inlineStr">
        <is>
          <t>Lookup — auto-fills item details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RFID Tags &amp; Security</t>
        </is>
      </c>
      <c r="C10" s="50" t="inlineStr">
        <is>
          <t>/gold-erp/rfid</t>
        </is>
      </c>
      <c r="D10" s="56" t="inlineStr">
        <is>
          <t>ENTER</t>
        </is>
      </c>
      <c r="E10" s="50" t="inlineStr">
        <is>
          <t>RFID Tag ID (from encoder)</t>
        </is>
      </c>
      <c r="F10" s="52" t="inlineStr">
        <is>
          <t>RFID-TAG-0042</t>
        </is>
      </c>
      <c r="G10" s="52" t="inlineStr">
        <is>
          <t>Tag physically encoded on RFID encoder device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RFID Tags &amp; Security</t>
        </is>
      </c>
      <c r="C11" s="50" t="inlineStr">
        <is>
          <t>/gold-erp/rfid</t>
        </is>
      </c>
      <c r="D11" s="56" t="inlineStr">
        <is>
          <t>ENTER</t>
        </is>
      </c>
      <c r="E11" s="50" t="inlineStr">
        <is>
          <t>Tag Type</t>
        </is>
      </c>
      <c r="F11" s="52" t="inlineStr">
        <is>
          <t>UHF RFID</t>
        </is>
      </c>
      <c r="G11" s="52" t="inlineStr">
        <is>
          <t>Dropdown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RFID Tags &amp; Security</t>
        </is>
      </c>
      <c r="C12" s="50" t="inlineStr">
        <is>
          <t>/gold-erp/rfid</t>
        </is>
      </c>
      <c r="D12" s="55" t="inlineStr">
        <is>
          <t>CLICK</t>
        </is>
      </c>
      <c r="E12" s="50" t="inlineStr">
        <is>
          <t>Verify Scan</t>
        </is>
      </c>
      <c r="F12" s="52" t="inlineStr"/>
      <c r="G12" s="52" t="inlineStr">
        <is>
          <t>Scan the tag — confirms encoding successful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RFID Tags &amp; Security</t>
        </is>
      </c>
      <c r="C13" s="50" t="inlineStr">
        <is>
          <t>/gold-erp/rfid</t>
        </is>
      </c>
      <c r="D13" s="51" t="inlineStr">
        <is>
          <t>ASSERT</t>
        </is>
      </c>
      <c r="E13" s="50" t="inlineStr">
        <is>
          <t>Tag linked to item</t>
        </is>
      </c>
      <c r="F13" s="52" t="inlineStr">
        <is>
          <t>DT-0042 — 22K Necklace 16.2gm</t>
        </is>
      </c>
      <c r="G13" s="57" t="inlineStr">
        <is>
          <t>Tag ID RFID-TAG-0042 stored against DT-0042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RFID Tags &amp; Security</t>
        </is>
      </c>
      <c r="C14" s="50" t="inlineStr">
        <is>
          <t>/gold-erp/rfid</t>
        </is>
      </c>
      <c r="D14" s="58" t="inlineStr">
        <is>
          <t>NOTE</t>
        </is>
      </c>
      <c r="E14" s="50" t="inlineStr">
        <is>
          <t>Repeat encoding for DT-0043 to DT-0046</t>
        </is>
      </c>
      <c r="F14" s="52" t="inlineStr">
        <is>
          <t>RFID-TAG-0043 to RFID-TAG-0046</t>
        </is>
      </c>
      <c r="G14" s="52" t="inlineStr">
        <is>
          <t>All 5 items tagged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RFID Tags &amp; Security</t>
        </is>
      </c>
      <c r="C15" s="50" t="inlineStr">
        <is>
          <t>/gold-erp/rfid</t>
        </is>
      </c>
      <c r="D15" s="51" t="inlineStr">
        <is>
          <t>ASSERT</t>
        </is>
      </c>
      <c r="E15" s="50" t="inlineStr">
        <is>
          <t>Tagged items count</t>
        </is>
      </c>
      <c r="F15" s="52" t="inlineStr">
        <is>
          <t>5 of 5</t>
        </is>
      </c>
      <c r="G15" s="57" t="inlineStr">
        <is>
          <t>All items show RFID tagged status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RFID Tags &amp; Security</t>
        </is>
      </c>
      <c r="C16" s="50" t="inlineStr">
        <is>
          <t>/gold-erp/rfid</t>
        </is>
      </c>
      <c r="D16" s="3" t="inlineStr">
        <is>
          <t>SECTION</t>
        </is>
      </c>
      <c r="E16" s="50" t="inlineStr">
        <is>
          <t>— Bulk Inventory Scan (Showcase Audit) —</t>
        </is>
      </c>
      <c r="F16" s="52" t="inlineStr"/>
      <c r="G16" s="52" t="inlineStr"/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RFID Tags &amp; Security</t>
        </is>
      </c>
      <c r="C17" s="50" t="inlineStr">
        <is>
          <t>/gold-erp/rfid</t>
        </is>
      </c>
      <c r="D17" s="55" t="inlineStr">
        <is>
          <t>CLICK</t>
        </is>
      </c>
      <c r="E17" s="50" t="inlineStr">
        <is>
          <t>+ New Scan Session</t>
        </is>
      </c>
      <c r="F17" s="52" t="inlineStr"/>
      <c r="G17" s="52" t="inlineStr">
        <is>
          <t>Scan session form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RFID Tags &amp; Security</t>
        </is>
      </c>
      <c r="C18" s="50" t="inlineStr">
        <is>
          <t>/gold-erp/rfid</t>
        </is>
      </c>
      <c r="D18" s="56" t="inlineStr">
        <is>
          <t>ENTER</t>
        </is>
      </c>
      <c r="E18" s="50" t="inlineStr">
        <is>
          <t>Location</t>
        </is>
      </c>
      <c r="F18" s="52" t="inlineStr">
        <is>
          <t>Main Showcase — Section A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RFID Tags &amp; Security</t>
        </is>
      </c>
      <c r="C19" s="50" t="inlineStr">
        <is>
          <t>/gold-erp/rfid</t>
        </is>
      </c>
      <c r="D19" s="56" t="inlineStr">
        <is>
          <t>ENTER</t>
        </is>
      </c>
      <c r="E19" s="50" t="inlineStr">
        <is>
          <t>Scanner Device</t>
        </is>
      </c>
      <c r="F19" s="52" t="inlineStr">
        <is>
          <t>Handheld Scanner #1</t>
        </is>
      </c>
      <c r="G19" s="52" t="inlineStr"/>
      <c r="H19" s="50" t="inlineStr"/>
      <c r="I19" s="53" t="inlineStr"/>
      <c r="J19" s="50" t="inlineStr"/>
    </row>
    <row r="20" ht="32" customHeight="1">
      <c r="A20" s="47" t="n">
        <v>16</v>
      </c>
      <c r="B20" s="50" t="inlineStr">
        <is>
          <t>RFID Tags &amp; Security</t>
        </is>
      </c>
      <c r="C20" s="50" t="inlineStr">
        <is>
          <t>/gold-erp/rfid</t>
        </is>
      </c>
      <c r="D20" s="56" t="inlineStr">
        <is>
          <t>ENTER</t>
        </is>
      </c>
      <c r="E20" s="50" t="inlineStr">
        <is>
          <t>Scanned Tags (bulk)</t>
        </is>
      </c>
      <c r="F20" s="52" t="inlineStr">
        <is>
          <t>RFID-TAG-0042, RFID-TAG-0043, RFID-TAG-0045, RFID-TAG-0046</t>
        </is>
      </c>
      <c r="G20" s="52" t="inlineStr">
        <is>
          <t>Simulate scan — DT-0044 (missing ring) NOT scanned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RFID Tags &amp; Security</t>
        </is>
      </c>
      <c r="C21" s="50" t="inlineStr">
        <is>
          <t>/gold-erp/rfid</t>
        </is>
      </c>
      <c r="D21" s="55" t="inlineStr">
        <is>
          <t>CLICK</t>
        </is>
      </c>
      <c r="E21" s="50" t="inlineStr">
        <is>
          <t>Submit Scan</t>
        </is>
      </c>
      <c r="F21" s="52" t="inlineStr"/>
      <c r="G21" s="52" t="inlineStr">
        <is>
          <t>Scan processed. Discrepancy detected.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RFID Tags &amp; Security</t>
        </is>
      </c>
      <c r="C22" s="50" t="inlineStr">
        <is>
          <t>/gold-erp/rfid</t>
        </is>
      </c>
      <c r="D22" s="51" t="inlineStr">
        <is>
          <t>ASSERT</t>
        </is>
      </c>
      <c r="E22" s="50" t="inlineStr">
        <is>
          <t>Missing item alert</t>
        </is>
      </c>
      <c r="F22" s="52" t="inlineStr">
        <is>
          <t>DT-0044 — RFID-TAG-0044 not found</t>
        </is>
      </c>
      <c r="G22" s="57" t="inlineStr">
        <is>
          <t>System flags missing item immediately</t>
        </is>
      </c>
      <c r="H22" s="50" t="inlineStr"/>
      <c r="I22" s="53" t="inlineStr"/>
      <c r="J22" s="50" t="inlineStr"/>
    </row>
    <row r="23" ht="32" customHeight="1">
      <c r="A23" s="47" t="n">
        <v>19</v>
      </c>
      <c r="B23" s="50" t="inlineStr">
        <is>
          <t>RFID Tags &amp; Security</t>
        </is>
      </c>
      <c r="C23" s="50" t="inlineStr">
        <is>
          <t>/gold-erp/rfid</t>
        </is>
      </c>
      <c r="D23" s="51" t="inlineStr">
        <is>
          <t>ASSERT</t>
        </is>
      </c>
      <c r="E23" s="50" t="inlineStr">
        <is>
          <t>Scan report</t>
        </is>
      </c>
      <c r="F23" s="52" t="inlineStr">
        <is>
          <t>4/5 found | 1 missing | 65.5 gm / 69.7 gm system</t>
        </is>
      </c>
      <c r="G23" s="57" t="inlineStr"/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RFID Tags &amp; Security</t>
        </is>
      </c>
      <c r="C24" s="50" t="inlineStr">
        <is>
          <t>/gold-erp/rfid</t>
        </is>
      </c>
      <c r="D24" s="3" t="inlineStr">
        <is>
          <t>SECTION</t>
        </is>
      </c>
      <c r="E24" s="50" t="inlineStr">
        <is>
          <t>— Packing &amp; Dispatch Validation —</t>
        </is>
      </c>
      <c r="F24" s="52" t="inlineStr"/>
      <c r="G24" s="52" t="inlineStr"/>
      <c r="H24" s="50" t="inlineStr"/>
      <c r="I24" s="53" t="inlineStr"/>
      <c r="J24" s="50" t="inlineStr"/>
    </row>
    <row r="25" ht="32" customHeight="1">
      <c r="A25" s="47" t="n">
        <v>21</v>
      </c>
      <c r="B25" s="50" t="inlineStr">
        <is>
          <t>RFID Tags &amp; Security</t>
        </is>
      </c>
      <c r="C25" s="50" t="inlineStr">
        <is>
          <t>/gold-erp/rfid</t>
        </is>
      </c>
      <c r="D25" s="51" t="inlineStr">
        <is>
          <t>SETUP</t>
        </is>
      </c>
      <c r="E25" s="50" t="inlineStr">
        <is>
          <t>Pre-condition</t>
        </is>
      </c>
      <c r="F25" s="52" t="inlineStr">
        <is>
          <t>Create delivery challan for DT-0042 + DT-0043 to Priya Jewellers</t>
        </is>
      </c>
      <c r="G25" s="52" t="inlineStr">
        <is>
          <t>Challan DC-2024-0010 ready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RFID Tags &amp; Security</t>
        </is>
      </c>
      <c r="C26" s="50" t="inlineStr">
        <is>
          <t>/gold-erp/rfid</t>
        </is>
      </c>
      <c r="D26" s="55" t="inlineStr">
        <is>
          <t>CLICK</t>
        </is>
      </c>
      <c r="E26" s="50" t="inlineStr">
        <is>
          <t>Validate Dispatch — DC-2024-0010</t>
        </is>
      </c>
      <c r="F26" s="52" t="inlineStr"/>
      <c r="G26" s="52" t="inlineStr">
        <is>
          <t>Dispatch scan form. Expected: RFID-TAG-0042 + RFID-TAG-0043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RFID Tags &amp; Security</t>
        </is>
      </c>
      <c r="C27" s="50" t="inlineStr">
        <is>
          <t>/gold-erp/rfid</t>
        </is>
      </c>
      <c r="D27" s="56" t="inlineStr">
        <is>
          <t>ENTER</t>
        </is>
      </c>
      <c r="E27" s="50" t="inlineStr">
        <is>
          <t>Scan items into package</t>
        </is>
      </c>
      <c r="F27" s="52" t="inlineStr">
        <is>
          <t>RFID-TAG-0042, RFID-TAG-0043</t>
        </is>
      </c>
      <c r="G27" s="52" t="inlineStr">
        <is>
          <t>Both scanned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RFID Tags &amp; Security</t>
        </is>
      </c>
      <c r="C28" s="50" t="inlineStr">
        <is>
          <t>/gold-erp/rfid</t>
        </is>
      </c>
      <c r="D28" s="51" t="inlineStr">
        <is>
          <t>ASSERT</t>
        </is>
      </c>
      <c r="E28" s="50" t="inlineStr">
        <is>
          <t>Dispatch validation</t>
        </is>
      </c>
      <c r="F28" s="52" t="inlineStr">
        <is>
          <t>✅ PASS — 2/2 items confirmed</t>
        </is>
      </c>
      <c r="G28" s="57" t="inlineStr">
        <is>
          <t>All expected items scanned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RFID Tags &amp; Security</t>
        </is>
      </c>
      <c r="C29" s="50" t="inlineStr">
        <is>
          <t>/gold-erp/rfid</t>
        </is>
      </c>
      <c r="D29" s="58" t="inlineStr">
        <is>
          <t>NOTE</t>
        </is>
      </c>
      <c r="E29" s="50" t="inlineStr">
        <is>
          <t>Negative test — try adding extra item to package</t>
        </is>
      </c>
      <c r="F29" s="52" t="inlineStr"/>
      <c r="G29" s="52" t="inlineStr"/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RFID Tags &amp; Security</t>
        </is>
      </c>
      <c r="C30" s="50" t="inlineStr">
        <is>
          <t>/gold-erp/rfid</t>
        </is>
      </c>
      <c r="D30" s="56" t="inlineStr">
        <is>
          <t>ENTER</t>
        </is>
      </c>
      <c r="E30" s="50" t="inlineStr">
        <is>
          <t>Scan extra item</t>
        </is>
      </c>
      <c r="F30" s="52" t="inlineStr">
        <is>
          <t>RFID-TAG-0045</t>
        </is>
      </c>
      <c r="G30" s="52" t="inlineStr">
        <is>
          <t>Not on this challan</t>
        </is>
      </c>
      <c r="H30" s="50" t="inlineStr"/>
      <c r="I30" s="53" t="inlineStr"/>
      <c r="J30" s="50" t="inlineStr"/>
    </row>
    <row r="31" ht="32" customHeight="1">
      <c r="A31" s="47" t="n">
        <v>27</v>
      </c>
      <c r="B31" s="50" t="inlineStr">
        <is>
          <t>RFID Tags &amp; Security</t>
        </is>
      </c>
      <c r="C31" s="50" t="inlineStr">
        <is>
          <t>/gold-erp/rfid</t>
        </is>
      </c>
      <c r="D31" s="51" t="inlineStr">
        <is>
          <t>ASSERT</t>
        </is>
      </c>
      <c r="E31" s="50" t="inlineStr">
        <is>
          <t>Extra item alert</t>
        </is>
      </c>
      <c r="F31" s="52" t="inlineStr">
        <is>
          <t>⚠ ALERT: RFID-TAG-0045 not on challan DC-2024-0010</t>
        </is>
      </c>
      <c r="G31" s="57" t="inlineStr">
        <is>
          <t>Extra item detected — investigate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RFID Tags &amp; Security</t>
        </is>
      </c>
      <c r="C32" s="50" t="inlineStr">
        <is>
          <t>/gold-erp/rfid</t>
        </is>
      </c>
      <c r="D32" s="3" t="inlineStr">
        <is>
          <t>SECTION</t>
        </is>
      </c>
      <c r="E32" s="50" t="inlineStr">
        <is>
          <t>— Anti-Theft Alert Simulation —</t>
        </is>
      </c>
      <c r="F32" s="52" t="inlineStr"/>
      <c r="G32" s="52" t="inlineStr"/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RFID Tags &amp; Security</t>
        </is>
      </c>
      <c r="C33" s="50" t="inlineStr">
        <is>
          <t>/gold-erp/rfid</t>
        </is>
      </c>
      <c r="D33" s="56" t="inlineStr">
        <is>
          <t>ENTER</t>
        </is>
      </c>
      <c r="E33" s="50" t="inlineStr">
        <is>
          <t>Simulate gate read</t>
        </is>
      </c>
      <c r="F33" s="52" t="inlineStr">
        <is>
          <t>RFID-TAG-0046 exits gate without invoice</t>
        </is>
      </c>
      <c r="G33" s="52" t="inlineStr">
        <is>
          <t>Simulate item leaving store without dispatch record</t>
        </is>
      </c>
      <c r="H33" s="50" t="inlineStr"/>
      <c r="I33" s="53" t="inlineStr"/>
      <c r="J33" s="50" t="inlineStr"/>
    </row>
    <row r="34" ht="32" customHeight="1">
      <c r="A34" s="47" t="n">
        <v>30</v>
      </c>
      <c r="B34" s="50" t="inlineStr">
        <is>
          <t>RFID Tags &amp; Security</t>
        </is>
      </c>
      <c r="C34" s="50" t="inlineStr">
        <is>
          <t>/gold-erp/rfid</t>
        </is>
      </c>
      <c r="D34" s="51" t="inlineStr">
        <is>
          <t>ASSERT</t>
        </is>
      </c>
      <c r="E34" s="50" t="inlineStr">
        <is>
          <t>Security alert fired</t>
        </is>
      </c>
      <c r="F34" s="52" t="inlineStr">
        <is>
          <t>🚨 ALERT: Unauthorised exit — DT-0046 / RFID-TAG-0046</t>
        </is>
      </c>
      <c r="G34" s="57" t="inlineStr">
        <is>
          <t>Push notification sent to manager</t>
        </is>
      </c>
      <c r="H34" s="50" t="inlineStr"/>
      <c r="I34" s="53" t="inlineStr"/>
      <c r="J34" s="50" t="inlineStr"/>
    </row>
    <row r="35" ht="32" customHeight="1">
      <c r="A35" s="47" t="n">
        <v>31</v>
      </c>
      <c r="B35" s="50" t="inlineStr">
        <is>
          <t>RFID Tags &amp; Security</t>
        </is>
      </c>
      <c r="C35" s="50" t="inlineStr">
        <is>
          <t>/gold-erp/rfid</t>
        </is>
      </c>
      <c r="D35" s="51" t="inlineStr">
        <is>
          <t>ASSERT</t>
        </is>
      </c>
      <c r="E35" s="50" t="inlineStr">
        <is>
          <t>Alert log entry</t>
        </is>
      </c>
      <c r="F35" s="52" t="inlineStr">
        <is>
          <t>Date/Time, Item, Location, Triggered by gate reader</t>
        </is>
      </c>
      <c r="G35" s="57" t="inlineStr">
        <is>
          <t>Logged in security events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RFID Tags &amp; Security</t>
        </is>
      </c>
      <c r="C36" s="50" t="inlineStr">
        <is>
          <t>/gold-erp/rfid</t>
        </is>
      </c>
      <c r="D36" s="55" t="inlineStr">
        <is>
          <t>CLICK</t>
        </is>
      </c>
      <c r="E36" s="50" t="inlineStr">
        <is>
          <t>Acknowledge alert</t>
        </is>
      </c>
      <c r="F36" s="52" t="inlineStr"/>
      <c r="G36" s="52" t="inlineStr">
        <is>
          <t>Mark alert as investigated</t>
        </is>
      </c>
      <c r="H36" s="50" t="inlineStr"/>
      <c r="I36" s="53" t="inlineStr"/>
      <c r="J36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11: E-Catalog + OMS — Create Catalogue, Share, Enquiry, Order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Create password-protected catalogue for Priya Jewellers → share via WhatsApp → customer enquires on 2 items → convert to OMS order → dispatch notification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F11</t>
        </is>
      </c>
      <c r="C3" s="47" t="inlineStr">
        <is>
          <t>Steps</t>
        </is>
      </c>
      <c r="D3" s="48" t="n">
        <v>34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E-Catalog</t>
        </is>
      </c>
      <c r="C5" s="50" t="inlineStr">
        <is>
          <t>/gold-erp/e-catalog</t>
        </is>
      </c>
      <c r="D5" s="54" t="inlineStr">
        <is>
          <t>NAVIGATE</t>
        </is>
      </c>
      <c r="E5" s="50" t="inlineStr"/>
      <c r="F5" s="52" t="inlineStr"/>
      <c r="G5" s="52" t="inlineStr">
        <is>
          <t>E-Catalog screen opens</t>
        </is>
      </c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E-Catalog</t>
        </is>
      </c>
      <c r="C6" s="50" t="inlineStr">
        <is>
          <t>/gold-erp/e-catalog</t>
        </is>
      </c>
      <c r="D6" s="55" t="inlineStr">
        <is>
          <t>CLICK</t>
        </is>
      </c>
      <c r="E6" s="50" t="inlineStr">
        <is>
          <t>+ Create New Catalogue</t>
        </is>
      </c>
      <c r="F6" s="52" t="inlineStr"/>
      <c r="G6" s="52" t="inlineStr">
        <is>
          <t>Catalogue setup form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E-Catalog</t>
        </is>
      </c>
      <c r="C7" s="50" t="inlineStr">
        <is>
          <t>/gold-erp/e-catalog</t>
        </is>
      </c>
      <c r="D7" s="56" t="inlineStr">
        <is>
          <t>ENTER</t>
        </is>
      </c>
      <c r="E7" s="50" t="inlineStr">
        <is>
          <t>Catalogue Name</t>
        </is>
      </c>
      <c r="F7" s="52" t="inlineStr">
        <is>
          <t>Priya Jewellers — Jan 2024 Collection</t>
        </is>
      </c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E-Catalog</t>
        </is>
      </c>
      <c r="C8" s="50" t="inlineStr">
        <is>
          <t>/gold-erp/e-catalog</t>
        </is>
      </c>
      <c r="D8" s="56" t="inlineStr">
        <is>
          <t>ENTER</t>
        </is>
      </c>
      <c r="E8" s="50" t="inlineStr">
        <is>
          <t>Access Type</t>
        </is>
      </c>
      <c r="F8" s="52" t="inlineStr">
        <is>
          <t>Password Protected</t>
        </is>
      </c>
      <c r="G8" s="52" t="inlineStr">
        <is>
          <t>Dropdown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E-Catalog</t>
        </is>
      </c>
      <c r="C9" s="50" t="inlineStr">
        <is>
          <t>/gold-erp/e-catalog</t>
        </is>
      </c>
      <c r="D9" s="56" t="inlineStr">
        <is>
          <t>ENTER</t>
        </is>
      </c>
      <c r="E9" s="50" t="inlineStr">
        <is>
          <t>Password</t>
        </is>
      </c>
      <c r="F9" s="52" t="inlineStr">
        <is>
          <t>PJ2024</t>
        </is>
      </c>
      <c r="G9" s="52" t="inlineStr">
        <is>
          <t>Customer-specific password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E-Catalog</t>
        </is>
      </c>
      <c r="C10" s="50" t="inlineStr">
        <is>
          <t>/gold-erp/e-catalog</t>
        </is>
      </c>
      <c r="D10" s="56" t="inlineStr">
        <is>
          <t>ENTER</t>
        </is>
      </c>
      <c r="E10" s="50" t="inlineStr">
        <is>
          <t>Valid Till</t>
        </is>
      </c>
      <c r="F10" s="52" t="inlineStr">
        <is>
          <t>Today + 7 days</t>
        </is>
      </c>
      <c r="G10" s="52" t="inlineStr">
        <is>
          <t>Expiry date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E-Catalog</t>
        </is>
      </c>
      <c r="C11" s="50" t="inlineStr">
        <is>
          <t>/gold-erp/e-catalog</t>
        </is>
      </c>
      <c r="D11" s="56" t="inlineStr">
        <is>
          <t>ENTER</t>
        </is>
      </c>
      <c r="E11" s="50" t="inlineStr">
        <is>
          <t>Watermark Text</t>
        </is>
      </c>
      <c r="F11" s="52" t="inlineStr">
        <is>
          <t>Priya Jewellers Exclusive</t>
        </is>
      </c>
      <c r="G11" s="52" t="inlineStr">
        <is>
          <t>Shown on all images</t>
        </is>
      </c>
      <c r="H11" s="50" t="inlineStr"/>
      <c r="I11" s="53" t="inlineStr"/>
      <c r="J11" s="50" t="inlineStr"/>
    </row>
    <row r="12" ht="32" customHeight="1">
      <c r="A12" s="47" t="n">
        <v>8</v>
      </c>
      <c r="B12" s="50" t="inlineStr">
        <is>
          <t>E-Catalog</t>
        </is>
      </c>
      <c r="C12" s="50" t="inlineStr">
        <is>
          <t>/gold-erp/e-catalog</t>
        </is>
      </c>
      <c r="D12" s="56" t="inlineStr">
        <is>
          <t>ENTER</t>
        </is>
      </c>
      <c r="E12" s="50" t="inlineStr">
        <is>
          <t>Items to include</t>
        </is>
      </c>
      <c r="F12" s="52" t="inlineStr">
        <is>
          <t>DT-0050, DT-0051, DT-0052, DT-0055, DT-0056</t>
        </is>
      </c>
      <c r="G12" s="52" t="inlineStr">
        <is>
          <t>5 items from hallmarked stock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E-Catalog</t>
        </is>
      </c>
      <c r="C13" s="50" t="inlineStr">
        <is>
          <t>/gold-erp/e-catalog</t>
        </is>
      </c>
      <c r="D13" s="56" t="inlineStr">
        <is>
          <t>ENTER</t>
        </is>
      </c>
      <c r="E13" s="50" t="inlineStr">
        <is>
          <t>Price Display</t>
        </is>
      </c>
      <c r="F13" s="52" t="inlineStr">
        <is>
          <t>Show making charges only (not gold value)</t>
        </is>
      </c>
      <c r="G13" s="52" t="inlineStr">
        <is>
          <t>Customer sees making charges, not gold rate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E-Catalog</t>
        </is>
      </c>
      <c r="C14" s="50" t="inlineStr">
        <is>
          <t>/gold-erp/e-catalog</t>
        </is>
      </c>
      <c r="D14" s="55" t="inlineStr">
        <is>
          <t>CLICK</t>
        </is>
      </c>
      <c r="E14" s="50" t="inlineStr">
        <is>
          <t>Save &amp; Generate Link</t>
        </is>
      </c>
      <c r="F14" s="52" t="inlineStr"/>
      <c r="G14" s="52" t="inlineStr">
        <is>
          <t>Catalogue CAT-001 created. Share link generated.</t>
        </is>
      </c>
      <c r="H14" s="50" t="inlineStr"/>
      <c r="I14" s="53" t="inlineStr"/>
      <c r="J14" s="50" t="inlineStr"/>
    </row>
    <row r="15" ht="32" customHeight="1">
      <c r="A15" s="47" t="n">
        <v>11</v>
      </c>
      <c r="B15" s="50" t="inlineStr">
        <is>
          <t>E-Catalog</t>
        </is>
      </c>
      <c r="C15" s="50" t="inlineStr">
        <is>
          <t>/gold-erp/e-catalog</t>
        </is>
      </c>
      <c r="D15" s="51" t="inlineStr">
        <is>
          <t>ASSERT</t>
        </is>
      </c>
      <c r="E15" s="50" t="inlineStr">
        <is>
          <t>Share link format</t>
        </is>
      </c>
      <c r="F15" s="52" t="inlineStr">
        <is>
          <t>https://app.swacherp.com/catalog/CAT-001?token=xxxxx</t>
        </is>
      </c>
      <c r="G15" s="57" t="inlineStr">
        <is>
          <t>Unique time-bound token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E-Catalog</t>
        </is>
      </c>
      <c r="C16" s="50" t="inlineStr">
        <is>
          <t>/gold-erp/e-catalog</t>
        </is>
      </c>
      <c r="D16" s="55" t="inlineStr">
        <is>
          <t>CLICK</t>
        </is>
      </c>
      <c r="E16" s="50" t="inlineStr">
        <is>
          <t>Share via WhatsApp — Priya Jewellers</t>
        </is>
      </c>
      <c r="F16" s="52" t="inlineStr"/>
      <c r="G16" s="52" t="inlineStr">
        <is>
          <t>WhatsApp message sent to 9887654321 with link + password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E-Catalog</t>
        </is>
      </c>
      <c r="C17" s="50" t="inlineStr">
        <is>
          <t>/gold-erp/e-catalog</t>
        </is>
      </c>
      <c r="D17" s="3" t="inlineStr">
        <is>
          <t>SECTION</t>
        </is>
      </c>
      <c r="E17" s="50" t="inlineStr">
        <is>
          <t>— Customer views catalogue (simulate) —</t>
        </is>
      </c>
      <c r="F17" s="52" t="inlineStr"/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E-Catalog</t>
        </is>
      </c>
      <c r="C18" s="50" t="inlineStr">
        <is>
          <t>/gold-erp/e-catalog</t>
        </is>
      </c>
      <c r="D18" s="51" t="inlineStr">
        <is>
          <t>SETUP</t>
        </is>
      </c>
      <c r="E18" s="50" t="inlineStr">
        <is>
          <t>Open link in browser (incognito)</t>
        </is>
      </c>
      <c r="F18" s="52" t="inlineStr">
        <is>
          <t>https://app.swacherp.com/catalog/CAT-001</t>
        </is>
      </c>
      <c r="G18" s="52" t="inlineStr">
        <is>
          <t>Catalogue login page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E-Catalog</t>
        </is>
      </c>
      <c r="C19" s="50" t="inlineStr">
        <is>
          <t>/gold-erp/e-catalog</t>
        </is>
      </c>
      <c r="D19" s="56" t="inlineStr">
        <is>
          <t>ENTER</t>
        </is>
      </c>
      <c r="E19" s="50" t="inlineStr">
        <is>
          <t>Password (catalogue login)</t>
        </is>
      </c>
      <c r="F19" s="52" t="inlineStr">
        <is>
          <t>PJ2024</t>
        </is>
      </c>
      <c r="G19" s="52" t="inlineStr"/>
      <c r="H19" s="50" t="inlineStr"/>
      <c r="I19" s="53" t="inlineStr"/>
      <c r="J19" s="50" t="inlineStr"/>
    </row>
    <row r="20" ht="32" customHeight="1">
      <c r="A20" s="47" t="n">
        <v>16</v>
      </c>
      <c r="B20" s="50" t="inlineStr">
        <is>
          <t>E-Catalog</t>
        </is>
      </c>
      <c r="C20" s="50" t="inlineStr">
        <is>
          <t>/gold-erp/e-catalog</t>
        </is>
      </c>
      <c r="D20" s="51" t="inlineStr">
        <is>
          <t>ASSERT</t>
        </is>
      </c>
      <c r="E20" s="50" t="inlineStr">
        <is>
          <t>Catalogue opens</t>
        </is>
      </c>
      <c r="F20" s="52" t="inlineStr">
        <is>
          <t>5 items visible with images + making charges</t>
        </is>
      </c>
      <c r="G20" s="57" t="inlineStr">
        <is>
          <t>Gold value NOT shown per setting</t>
        </is>
      </c>
      <c r="H20" s="50" t="inlineStr"/>
      <c r="I20" s="53" t="inlineStr"/>
      <c r="J20" s="50" t="inlineStr"/>
    </row>
    <row r="21" ht="32" customHeight="1">
      <c r="A21" s="47" t="n">
        <v>17</v>
      </c>
      <c r="B21" s="50" t="inlineStr">
        <is>
          <t>E-Catalog</t>
        </is>
      </c>
      <c r="C21" s="50" t="inlineStr">
        <is>
          <t>/gold-erp/e-catalog</t>
        </is>
      </c>
      <c r="D21" s="51" t="inlineStr">
        <is>
          <t>ASSERT</t>
        </is>
      </c>
      <c r="E21" s="50" t="inlineStr">
        <is>
          <t>Image watermark</t>
        </is>
      </c>
      <c r="F21" s="52" t="inlineStr">
        <is>
          <t>'Priya Jewellers Exclusive' watermark on all images</t>
        </is>
      </c>
      <c r="G21" s="57" t="inlineStr">
        <is>
          <t>Content protection working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E-Catalog</t>
        </is>
      </c>
      <c r="C22" s="50" t="inlineStr">
        <is>
          <t>/gold-erp/e-catalog</t>
        </is>
      </c>
      <c r="D22" s="55" t="inlineStr">
        <is>
          <t>CLICK</t>
        </is>
      </c>
      <c r="E22" s="50" t="inlineStr">
        <is>
          <t>Raise Enquiry — DT-0050 + DT-0052</t>
        </is>
      </c>
      <c r="F22" s="52" t="inlineStr"/>
      <c r="G22" s="52" t="inlineStr">
        <is>
          <t>Customer selects 2 items to enquire</t>
        </is>
      </c>
      <c r="H22" s="50" t="inlineStr"/>
      <c r="I22" s="53" t="inlineStr"/>
      <c r="J22" s="50" t="inlineStr"/>
    </row>
    <row r="23" ht="32" customHeight="1">
      <c r="A23" s="47" t="n">
        <v>19</v>
      </c>
      <c r="B23" s="50" t="inlineStr">
        <is>
          <t>E-Catalog</t>
        </is>
      </c>
      <c r="C23" s="50" t="inlineStr">
        <is>
          <t>/gold-erp/e-catalog</t>
        </is>
      </c>
      <c r="D23" s="56" t="inlineStr">
        <is>
          <t>ENTER</t>
        </is>
      </c>
      <c r="E23" s="50" t="inlineStr">
        <is>
          <t>Enquiry notes</t>
        </is>
      </c>
      <c r="F23" s="52" t="inlineStr">
        <is>
          <t>Interested in both — want to check stone quality</t>
        </is>
      </c>
      <c r="G23" s="52" t="inlineStr">
        <is>
          <t>Free text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E-Catalog</t>
        </is>
      </c>
      <c r="C24" s="50" t="inlineStr">
        <is>
          <t>/gold-erp/e-catalog</t>
        </is>
      </c>
      <c r="D24" s="55" t="inlineStr">
        <is>
          <t>CLICK</t>
        </is>
      </c>
      <c r="E24" s="50" t="inlineStr">
        <is>
          <t>Submit Enquiry</t>
        </is>
      </c>
      <c r="F24" s="52" t="inlineStr"/>
      <c r="G24" s="52" t="inlineStr">
        <is>
          <t>Enquiry ENQ-001 submitted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E-Catalog</t>
        </is>
      </c>
      <c r="C25" s="50" t="inlineStr">
        <is>
          <t>/gold-erp/e-catalog</t>
        </is>
      </c>
      <c r="D25" s="3" t="inlineStr">
        <is>
          <t>SECTION</t>
        </is>
      </c>
      <c r="E25" s="50" t="inlineStr">
        <is>
          <t>— ERP side: view enquiry and convert to OMS order —</t>
        </is>
      </c>
      <c r="F25" s="52" t="inlineStr"/>
      <c r="G25" s="52" t="inlineStr"/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E-Catalog</t>
        </is>
      </c>
      <c r="C26" s="50" t="inlineStr">
        <is>
          <t>/gold-erp/e-catalog</t>
        </is>
      </c>
      <c r="D26" s="51" t="inlineStr">
        <is>
          <t>ASSERT</t>
        </is>
      </c>
      <c r="E26" s="50" t="inlineStr">
        <is>
          <t>Enquiry notification</t>
        </is>
      </c>
      <c r="F26" s="52" t="inlineStr">
        <is>
          <t>ENQ-001 from Priya Jewellers — 2 items</t>
        </is>
      </c>
      <c r="G26" s="57" t="inlineStr">
        <is>
          <t>Alert in ERP for catalogue enquiry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OMS Orders</t>
        </is>
      </c>
      <c r="C27" s="50" t="inlineStr">
        <is>
          <t>/gold-erp/oms-orders</t>
        </is>
      </c>
      <c r="D27" s="54" t="inlineStr">
        <is>
          <t>NAVIGATE</t>
        </is>
      </c>
      <c r="E27" s="50" t="inlineStr"/>
      <c r="F27" s="52" t="inlineStr"/>
      <c r="G27" s="52" t="inlineStr">
        <is>
          <t>OMS orders list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OMS Orders</t>
        </is>
      </c>
      <c r="C28" s="50" t="inlineStr">
        <is>
          <t>/gold-erp/oms-orders</t>
        </is>
      </c>
      <c r="D28" s="55" t="inlineStr">
        <is>
          <t>CLICK</t>
        </is>
      </c>
      <c r="E28" s="50" t="inlineStr">
        <is>
          <t>Convert Enquiry ENQ-001 to Order</t>
        </is>
      </c>
      <c r="F28" s="52" t="inlineStr"/>
      <c r="G28" s="52" t="inlineStr">
        <is>
          <t>Order form pre-filled with enquiry items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OMS Orders</t>
        </is>
      </c>
      <c r="C29" s="50" t="inlineStr">
        <is>
          <t>/gold-erp/oms-orders</t>
        </is>
      </c>
      <c r="D29" s="56" t="inlineStr">
        <is>
          <t>ENTER</t>
        </is>
      </c>
      <c r="E29" s="50" t="inlineStr">
        <is>
          <t>Confirm items</t>
        </is>
      </c>
      <c r="F29" s="52" t="inlineStr">
        <is>
          <t>DT-0050 + DT-0052</t>
        </is>
      </c>
      <c r="G29" s="52" t="inlineStr"/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OMS Orders</t>
        </is>
      </c>
      <c r="C30" s="50" t="inlineStr">
        <is>
          <t>/gold-erp/oms-orders</t>
        </is>
      </c>
      <c r="D30" s="56" t="inlineStr">
        <is>
          <t>ENTER</t>
        </is>
      </c>
      <c r="E30" s="50" t="inlineStr">
        <is>
          <t>Delivery Date</t>
        </is>
      </c>
      <c r="F30" s="52" t="inlineStr">
        <is>
          <t>Today + 5 days</t>
        </is>
      </c>
      <c r="G30" s="52" t="inlineStr"/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OMS Orders</t>
        </is>
      </c>
      <c r="C31" s="50" t="inlineStr">
        <is>
          <t>/gold-erp/oms-orders</t>
        </is>
      </c>
      <c r="D31" s="56" t="inlineStr">
        <is>
          <t>ENTER</t>
        </is>
      </c>
      <c r="E31" s="50" t="inlineStr">
        <is>
          <t>Payment Terms</t>
        </is>
      </c>
      <c r="F31" s="52" t="inlineStr">
        <is>
          <t>50% advance</t>
        </is>
      </c>
      <c r="G31" s="52" t="inlineStr"/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OMS Orders</t>
        </is>
      </c>
      <c r="C32" s="50" t="inlineStr">
        <is>
          <t>/gold-erp/oms-orders</t>
        </is>
      </c>
      <c r="D32" s="55" t="inlineStr">
        <is>
          <t>CLICK</t>
        </is>
      </c>
      <c r="E32" s="50" t="inlineStr">
        <is>
          <t>Create Order OMS-2024-0001</t>
        </is>
      </c>
      <c r="F32" s="52" t="inlineStr"/>
      <c r="G32" s="52" t="inlineStr">
        <is>
          <t>Order created. Status: Confirmed.</t>
        </is>
      </c>
      <c r="H32" s="50" t="inlineStr"/>
      <c r="I32" s="53" t="inlineStr"/>
      <c r="J32" s="50" t="inlineStr"/>
    </row>
    <row r="33" ht="32" customHeight="1">
      <c r="A33" s="47" t="n">
        <v>29</v>
      </c>
      <c r="B33" s="50" t="inlineStr">
        <is>
          <t>OMS Orders</t>
        </is>
      </c>
      <c r="C33" s="50" t="inlineStr">
        <is>
          <t>/gold-erp/oms-orders</t>
        </is>
      </c>
      <c r="D33" s="51" t="inlineStr">
        <is>
          <t>ASSERT</t>
        </is>
      </c>
      <c r="E33" s="50" t="inlineStr">
        <is>
          <t>WhatsApp confirmation sent</t>
        </is>
      </c>
      <c r="F33" s="52" t="inlineStr">
        <is>
          <t>Order OMS-2024-0001 confirmed — message to 9887654321</t>
        </is>
      </c>
      <c r="G33" s="57" t="inlineStr">
        <is>
          <t>Auto-notification on order creation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OMS Notification Config</t>
        </is>
      </c>
      <c r="C34" s="50" t="inlineStr">
        <is>
          <t>/gold-erp/oms-notifications</t>
        </is>
      </c>
      <c r="D34" s="54" t="inlineStr">
        <is>
          <t>NAVIGATE</t>
        </is>
      </c>
      <c r="E34" s="50" t="inlineStr"/>
      <c r="F34" s="52" t="inlineStr"/>
      <c r="G34" s="52" t="inlineStr">
        <is>
          <t>OMS notification configuration</t>
        </is>
      </c>
      <c r="H34" s="50" t="inlineStr"/>
      <c r="I34" s="53" t="inlineStr"/>
      <c r="J34" s="50" t="inlineStr"/>
    </row>
    <row r="35" ht="32" customHeight="1">
      <c r="A35" s="47" t="n">
        <v>31</v>
      </c>
      <c r="B35" s="50" t="inlineStr">
        <is>
          <t>OMS Notification Config</t>
        </is>
      </c>
      <c r="C35" s="50" t="inlineStr">
        <is>
          <t>/gold-erp/oms-notifications</t>
        </is>
      </c>
      <c r="D35" s="51" t="inlineStr">
        <is>
          <t>ASSERT</t>
        </is>
      </c>
      <c r="E35" s="50" t="inlineStr">
        <is>
          <t>Notification triggers active</t>
        </is>
      </c>
      <c r="F35" s="52" t="inlineStr">
        <is>
          <t>Order placed, Order dispatched, Order delivered</t>
        </is>
      </c>
      <c r="G35" s="57" t="inlineStr">
        <is>
          <t>All 3 triggers enabled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OMS Orders</t>
        </is>
      </c>
      <c r="C36" s="50" t="inlineStr">
        <is>
          <t>/gold-erp/oms-orders</t>
        </is>
      </c>
      <c r="D36" s="55" t="inlineStr">
        <is>
          <t>CLICK</t>
        </is>
      </c>
      <c r="E36" s="50" t="inlineStr">
        <is>
          <t>Update Status to Dispatched — OMS-2024-0001</t>
        </is>
      </c>
      <c r="F36" s="52" t="inlineStr"/>
      <c r="G36" s="52" t="inlineStr"/>
      <c r="H36" s="50" t="inlineStr"/>
      <c r="I36" s="53" t="inlineStr"/>
      <c r="J36" s="50" t="inlineStr"/>
    </row>
    <row r="37" ht="32" customHeight="1">
      <c r="A37" s="47" t="n">
        <v>33</v>
      </c>
      <c r="B37" s="50" t="inlineStr">
        <is>
          <t>OMS Orders</t>
        </is>
      </c>
      <c r="C37" s="50" t="inlineStr">
        <is>
          <t>/gold-erp/oms-orders</t>
        </is>
      </c>
      <c r="D37" s="51" t="inlineStr">
        <is>
          <t>ASSERT</t>
        </is>
      </c>
      <c r="E37" s="50" t="inlineStr">
        <is>
          <t>Customer WhatsApp alert</t>
        </is>
      </c>
      <c r="F37" s="52" t="inlineStr">
        <is>
          <t>'Your order OMS-2024-0001 has been dispatched'</t>
        </is>
      </c>
      <c r="G37" s="57" t="inlineStr">
        <is>
          <t>Triggered automatically on status change</t>
        </is>
      </c>
      <c r="H37" s="50" t="inlineStr"/>
      <c r="I37" s="53" t="inlineStr"/>
      <c r="J37" s="50" t="inlineStr"/>
    </row>
    <row r="38" ht="32" customHeight="1">
      <c r="A38" s="47" t="n">
        <v>34</v>
      </c>
      <c r="B38" s="50" t="inlineStr">
        <is>
          <t>OMS Orders</t>
        </is>
      </c>
      <c r="C38" s="50" t="inlineStr">
        <is>
          <t>/gold-erp/oms-orders</t>
        </is>
      </c>
      <c r="D38" s="51" t="inlineStr">
        <is>
          <t>ASSERT</t>
        </is>
      </c>
      <c r="E38" s="50" t="inlineStr">
        <is>
          <t>Catalogue analytics</t>
        </is>
      </c>
      <c r="F38" s="52" t="inlineStr">
        <is>
          <t>DT-0050 viewed 1 time | DT-0052 viewed 1 time | 2 enquiries | 1 conversion</t>
        </is>
      </c>
      <c r="G38" s="57" t="inlineStr">
        <is>
          <t>Track catalogue ROI</t>
        </is>
      </c>
      <c r="H38" s="50" t="inlineStr"/>
      <c r="I38" s="53" t="inlineStr"/>
      <c r="J38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12: Repairs &amp; Remodeling — Customer Necklace Clasp Repair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Quick booking at counter → create repair job → issue gold from stock → karigar repairs → weight after repair → invoice balance → delivery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F12</t>
        </is>
      </c>
      <c r="C3" s="47" t="inlineStr">
        <is>
          <t>Steps</t>
        </is>
      </c>
      <c r="D3" s="48" t="n">
        <v>34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Counter Bookings</t>
        </is>
      </c>
      <c r="C5" s="50" t="inlineStr">
        <is>
          <t>/gold-erp/counter-bookings</t>
        </is>
      </c>
      <c r="D5" s="54" t="inlineStr">
        <is>
          <t>NAVIGATE</t>
        </is>
      </c>
      <c r="E5" s="50" t="inlineStr"/>
      <c r="F5" s="52" t="inlineStr"/>
      <c r="G5" s="52" t="inlineStr">
        <is>
          <t>Counter bookings screen</t>
        </is>
      </c>
      <c r="H5" s="50" t="inlineStr"/>
      <c r="I5" s="53" t="inlineStr"/>
      <c r="J5" s="50" t="inlineStr">
        <is>
          <t>Quick capture at front desk</t>
        </is>
      </c>
    </row>
    <row r="6" ht="18" customHeight="1">
      <c r="A6" s="47" t="n">
        <v>2</v>
      </c>
      <c r="B6" s="50" t="inlineStr">
        <is>
          <t>Counter Bookings</t>
        </is>
      </c>
      <c r="C6" s="50" t="inlineStr">
        <is>
          <t>/gold-erp/counter-bookings</t>
        </is>
      </c>
      <c r="D6" s="55" t="inlineStr">
        <is>
          <t>CLICK</t>
        </is>
      </c>
      <c r="E6" s="50" t="inlineStr">
        <is>
          <t>+ New Booking</t>
        </is>
      </c>
      <c r="F6" s="52" t="inlineStr"/>
      <c r="G6" s="52" t="inlineStr">
        <is>
          <t>Booking form opens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Counter Bookings</t>
        </is>
      </c>
      <c r="C7" s="50" t="inlineStr">
        <is>
          <t>/gold-erp/counter-bookings</t>
        </is>
      </c>
      <c r="D7" s="56" t="inlineStr">
        <is>
          <t>ENTER</t>
        </is>
      </c>
      <c r="E7" s="50" t="inlineStr">
        <is>
          <t>Customer Name</t>
        </is>
      </c>
      <c r="F7" s="52" t="inlineStr">
        <is>
          <t>Anita Rao</t>
        </is>
      </c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Counter Bookings</t>
        </is>
      </c>
      <c r="C8" s="50" t="inlineStr">
        <is>
          <t>/gold-erp/counter-bookings</t>
        </is>
      </c>
      <c r="D8" s="56" t="inlineStr">
        <is>
          <t>ENTER</t>
        </is>
      </c>
      <c r="E8" s="50" t="inlineStr">
        <is>
          <t>Mobile</t>
        </is>
      </c>
      <c r="F8" s="52" t="inlineStr">
        <is>
          <t>9765432109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Counter Bookings</t>
        </is>
      </c>
      <c r="C9" s="50" t="inlineStr">
        <is>
          <t>/gold-erp/counter-bookings</t>
        </is>
      </c>
      <c r="D9" s="56" t="inlineStr">
        <is>
          <t>ENTER</t>
        </is>
      </c>
      <c r="E9" s="50" t="inlineStr">
        <is>
          <t>Booking Type</t>
        </is>
      </c>
      <c r="F9" s="52" t="inlineStr">
        <is>
          <t>Repair</t>
        </is>
      </c>
      <c r="G9" s="52" t="inlineStr">
        <is>
          <t>Dropdown: New order / Repair / Resize / Stone setting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Counter Bookings</t>
        </is>
      </c>
      <c r="C10" s="50" t="inlineStr">
        <is>
          <t>/gold-erp/counter-bookings</t>
        </is>
      </c>
      <c r="D10" s="56" t="inlineStr">
        <is>
          <t>ENTER</t>
        </is>
      </c>
      <c r="E10" s="50" t="inlineStr">
        <is>
          <t>Problem Description</t>
        </is>
      </c>
      <c r="F10" s="52" t="inlineStr">
        <is>
          <t>Clasp broken — 22K necklace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Counter Bookings</t>
        </is>
      </c>
      <c r="C11" s="50" t="inlineStr">
        <is>
          <t>/gold-erp/counter-bookings</t>
        </is>
      </c>
      <c r="D11" s="56" t="inlineStr">
        <is>
          <t>ENTER</t>
        </is>
      </c>
      <c r="E11" s="50" t="inlineStr">
        <is>
          <t>Advance Collected</t>
        </is>
      </c>
      <c r="F11" s="52" t="inlineStr">
        <is>
          <t>₹200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Counter Bookings</t>
        </is>
      </c>
      <c r="C12" s="50" t="inlineStr">
        <is>
          <t>/gold-erp/counter-bookings</t>
        </is>
      </c>
      <c r="D12" s="56" t="inlineStr">
        <is>
          <t>ENTER</t>
        </is>
      </c>
      <c r="E12" s="50" t="inlineStr">
        <is>
          <t>Expected Ready Date</t>
        </is>
      </c>
      <c r="F12" s="52" t="inlineStr">
        <is>
          <t>Today + 2 days</t>
        </is>
      </c>
      <c r="G12" s="52" t="inlineStr"/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Counter Bookings</t>
        </is>
      </c>
      <c r="C13" s="50" t="inlineStr">
        <is>
          <t>/gold-erp/counter-bookings</t>
        </is>
      </c>
      <c r="D13" s="55" t="inlineStr">
        <is>
          <t>CLICK</t>
        </is>
      </c>
      <c r="E13" s="50" t="inlineStr">
        <is>
          <t>Save Booking</t>
        </is>
      </c>
      <c r="F13" s="52" t="inlineStr"/>
      <c r="G13" s="52" t="inlineStr">
        <is>
          <t>Booking REP-2024-0001 created. Receipt printed.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Repairs</t>
        </is>
      </c>
      <c r="C14" s="50" t="inlineStr">
        <is>
          <t>/gold-erp/repairs</t>
        </is>
      </c>
      <c r="D14" s="54" t="inlineStr">
        <is>
          <t>NAVIGATE</t>
        </is>
      </c>
      <c r="E14" s="50" t="inlineStr"/>
      <c r="F14" s="52" t="inlineStr"/>
      <c r="G14" s="52" t="inlineStr">
        <is>
          <t>Repairs list — REP-2024-0001 visible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Repairs</t>
        </is>
      </c>
      <c r="C15" s="50" t="inlineStr">
        <is>
          <t>/gold-erp/repairs</t>
        </is>
      </c>
      <c r="D15" s="55" t="inlineStr">
        <is>
          <t>CLICK</t>
        </is>
      </c>
      <c r="E15" s="50" t="inlineStr">
        <is>
          <t>Open REP-2024-0001</t>
        </is>
      </c>
      <c r="F15" s="52" t="inlineStr"/>
      <c r="G15" s="52" t="inlineStr">
        <is>
          <t>Repair detail form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Repairs</t>
        </is>
      </c>
      <c r="C16" s="50" t="inlineStr">
        <is>
          <t>/gold-erp/repairs</t>
        </is>
      </c>
      <c r="D16" s="56" t="inlineStr">
        <is>
          <t>ENTER</t>
        </is>
      </c>
      <c r="E16" s="50" t="inlineStr">
        <is>
          <t>Item Description</t>
        </is>
      </c>
      <c r="F16" s="52" t="inlineStr">
        <is>
          <t>22K Necklace with broken box clasp</t>
        </is>
      </c>
      <c r="G16" s="52" t="inlineStr"/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Repairs</t>
        </is>
      </c>
      <c r="C17" s="50" t="inlineStr">
        <is>
          <t>/gold-erp/repairs</t>
        </is>
      </c>
      <c r="D17" s="56" t="inlineStr">
        <is>
          <t>ENTER</t>
        </is>
      </c>
      <c r="E17" s="50" t="inlineStr">
        <is>
          <t>Metal</t>
        </is>
      </c>
      <c r="F17" s="52" t="inlineStr">
        <is>
          <t>22K Gold</t>
        </is>
      </c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Repairs</t>
        </is>
      </c>
      <c r="C18" s="50" t="inlineStr">
        <is>
          <t>/gold-erp/repairs</t>
        </is>
      </c>
      <c r="D18" s="56" t="inlineStr">
        <is>
          <t>ENTER</t>
        </is>
      </c>
      <c r="E18" s="50" t="inlineStr">
        <is>
          <t>Weight Received (gm)</t>
        </is>
      </c>
      <c r="F18" s="52" t="inlineStr">
        <is>
          <t>22.5</t>
        </is>
      </c>
      <c r="G18" s="52" t="inlineStr">
        <is>
          <t>Weighed on receipt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Repairs</t>
        </is>
      </c>
      <c r="C19" s="50" t="inlineStr">
        <is>
          <t>/gold-erp/repairs</t>
        </is>
      </c>
      <c r="D19" s="55" t="inlineStr">
        <is>
          <t>CLICK</t>
        </is>
      </c>
      <c r="E19" s="50" t="inlineStr">
        <is>
          <t>Upload Photo on Receipt</t>
        </is>
      </c>
      <c r="F19" s="52" t="inlineStr">
        <is>
          <t>repair_photo_before.jpg</t>
        </is>
      </c>
      <c r="G19" s="52" t="inlineStr">
        <is>
          <t>Before photo mandatory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Repairs</t>
        </is>
      </c>
      <c r="C20" s="50" t="inlineStr">
        <is>
          <t>/gold-erp/repairs</t>
        </is>
      </c>
      <c r="D20" s="56" t="inlineStr">
        <is>
          <t>ENTER</t>
        </is>
      </c>
      <c r="E20" s="50" t="inlineStr">
        <is>
          <t>Repair Type</t>
        </is>
      </c>
      <c r="F20" s="52" t="inlineStr">
        <is>
          <t>Clasp replacement</t>
        </is>
      </c>
      <c r="G20" s="52" t="inlineStr">
        <is>
          <t>Dropdown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Repairs</t>
        </is>
      </c>
      <c r="C21" s="50" t="inlineStr">
        <is>
          <t>/gold-erp/repairs</t>
        </is>
      </c>
      <c r="D21" s="56" t="inlineStr">
        <is>
          <t>ENTER</t>
        </is>
      </c>
      <c r="E21" s="50" t="inlineStr">
        <is>
          <t>Karigar Assigned</t>
        </is>
      </c>
      <c r="F21" s="52" t="inlineStr">
        <is>
          <t>Raju Goldsmith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Repairs</t>
        </is>
      </c>
      <c r="C22" s="50" t="inlineStr">
        <is>
          <t>/gold-erp/repairs</t>
        </is>
      </c>
      <c r="D22" s="56" t="inlineStr">
        <is>
          <t>ENTER</t>
        </is>
      </c>
      <c r="E22" s="50" t="inlineStr">
        <is>
          <t>Additional Gold Required (gm)</t>
        </is>
      </c>
      <c r="F22" s="52" t="inlineStr">
        <is>
          <t>0.5</t>
        </is>
      </c>
      <c r="G22" s="52" t="inlineStr">
        <is>
          <t>New clasp gold from shop stock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Repairs</t>
        </is>
      </c>
      <c r="C23" s="50" t="inlineStr">
        <is>
          <t>/gold-erp/repairs</t>
        </is>
      </c>
      <c r="D23" s="51" t="inlineStr">
        <is>
          <t>ASSERT</t>
        </is>
      </c>
      <c r="E23" s="50" t="inlineStr">
        <is>
          <t>Additional gold deducted from stock</t>
        </is>
      </c>
      <c r="F23" s="52" t="inlineStr">
        <is>
          <t>0.5 gm from raw stock</t>
        </is>
      </c>
      <c r="G23" s="57" t="inlineStr">
        <is>
          <t>Metal ledger entry: −0.5 gm for repair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Repairs</t>
        </is>
      </c>
      <c r="C24" s="50" t="inlineStr">
        <is>
          <t>/gold-erp/repairs</t>
        </is>
      </c>
      <c r="D24" s="56" t="inlineStr">
        <is>
          <t>ENTER</t>
        </is>
      </c>
      <c r="E24" s="50" t="inlineStr">
        <is>
          <t>Repair Charges (₹)</t>
        </is>
      </c>
      <c r="F24" s="52" t="inlineStr">
        <is>
          <t>500</t>
        </is>
      </c>
      <c r="G24" s="52" t="inlineStr">
        <is>
          <t>Flat charge for clasp replacement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Repairs</t>
        </is>
      </c>
      <c r="C25" s="50" t="inlineStr">
        <is>
          <t>/gold-erp/repairs</t>
        </is>
      </c>
      <c r="D25" s="56" t="inlineStr">
        <is>
          <t>ENTER</t>
        </is>
      </c>
      <c r="E25" s="50" t="inlineStr">
        <is>
          <t>Status</t>
        </is>
      </c>
      <c r="F25" s="52" t="inlineStr">
        <is>
          <t>In Progress</t>
        </is>
      </c>
      <c r="G25" s="52" t="inlineStr"/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Repairs</t>
        </is>
      </c>
      <c r="C26" s="50" t="inlineStr">
        <is>
          <t>/gold-erp/repairs</t>
        </is>
      </c>
      <c r="D26" s="55" t="inlineStr">
        <is>
          <t>CLICK</t>
        </is>
      </c>
      <c r="E26" s="50" t="inlineStr">
        <is>
          <t>Save</t>
        </is>
      </c>
      <c r="F26" s="52" t="inlineStr"/>
      <c r="G26" s="52" t="inlineStr">
        <is>
          <t>Repair record updated. Karigar notified.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Repairs</t>
        </is>
      </c>
      <c r="C27" s="50" t="inlineStr">
        <is>
          <t>/gold-erp/repairs</t>
        </is>
      </c>
      <c r="D27" s="58" t="inlineStr">
        <is>
          <t>NOTE</t>
        </is>
      </c>
      <c r="E27" s="50" t="inlineStr">
        <is>
          <t xml:space="preserve">— After repair completed — </t>
        </is>
      </c>
      <c r="F27" s="52" t="inlineStr"/>
      <c r="G27" s="52" t="inlineStr">
        <is>
          <t>Karigar returns repaired necklace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Repairs</t>
        </is>
      </c>
      <c r="C28" s="50" t="inlineStr">
        <is>
          <t>/gold-erp/repairs</t>
        </is>
      </c>
      <c r="D28" s="56" t="inlineStr">
        <is>
          <t>ENTER</t>
        </is>
      </c>
      <c r="E28" s="50" t="inlineStr">
        <is>
          <t>Weight After Repair (gm)</t>
        </is>
      </c>
      <c r="F28" s="52" t="inlineStr">
        <is>
          <t>22.9</t>
        </is>
      </c>
      <c r="G28" s="52" t="inlineStr">
        <is>
          <t>22.5 original + 0.4 net gold added (0.5 − 0.1 wastage)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Repairs</t>
        </is>
      </c>
      <c r="C29" s="50" t="inlineStr">
        <is>
          <t>/gold-erp/repairs</t>
        </is>
      </c>
      <c r="D29" s="55" t="inlineStr">
        <is>
          <t>CLICK</t>
        </is>
      </c>
      <c r="E29" s="50" t="inlineStr">
        <is>
          <t>Upload After Photo</t>
        </is>
      </c>
      <c r="F29" s="52" t="inlineStr">
        <is>
          <t>repair_photo_after.jpg</t>
        </is>
      </c>
      <c r="G29" s="52" t="inlineStr">
        <is>
          <t>After photo mandatory for QC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Repairs</t>
        </is>
      </c>
      <c r="C30" s="50" t="inlineStr">
        <is>
          <t>/gold-erp/repairs</t>
        </is>
      </c>
      <c r="D30" s="56" t="inlineStr">
        <is>
          <t>ENTER</t>
        </is>
      </c>
      <c r="E30" s="50" t="inlineStr">
        <is>
          <t>Status</t>
        </is>
      </c>
      <c r="F30" s="52" t="inlineStr">
        <is>
          <t>Ready for Collection</t>
        </is>
      </c>
      <c r="G30" s="52" t="inlineStr"/>
      <c r="H30" s="50" t="inlineStr"/>
      <c r="I30" s="53" t="inlineStr"/>
      <c r="J30" s="50" t="inlineStr"/>
    </row>
    <row r="31" ht="32" customHeight="1">
      <c r="A31" s="47" t="n">
        <v>27</v>
      </c>
      <c r="B31" s="50" t="inlineStr">
        <is>
          <t>Repairs</t>
        </is>
      </c>
      <c r="C31" s="50" t="inlineStr">
        <is>
          <t>/gold-erp/repairs</t>
        </is>
      </c>
      <c r="D31" s="51" t="inlineStr">
        <is>
          <t>ASSERT</t>
        </is>
      </c>
      <c r="E31" s="50" t="inlineStr">
        <is>
          <t>Customer WhatsApp alert</t>
        </is>
      </c>
      <c r="F31" s="52" t="inlineStr">
        <is>
          <t>'Your repair REP-2024-0001 is ready for collection'</t>
        </is>
      </c>
      <c r="G31" s="57" t="inlineStr">
        <is>
          <t>Auto-triggered on status = Ready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Repairs</t>
        </is>
      </c>
      <c r="C32" s="50" t="inlineStr">
        <is>
          <t>/gold-erp/repairs</t>
        </is>
      </c>
      <c r="D32" s="55" t="inlineStr">
        <is>
          <t>CLICK</t>
        </is>
      </c>
      <c r="E32" s="50" t="inlineStr">
        <is>
          <t>Mark as Delivered + Generate Invoice</t>
        </is>
      </c>
      <c r="F32" s="52" t="inlineStr"/>
      <c r="G32" s="52" t="inlineStr">
        <is>
          <t>Invoice generated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Repairs</t>
        </is>
      </c>
      <c r="C33" s="50" t="inlineStr">
        <is>
          <t>/gold-erp/repairs</t>
        </is>
      </c>
      <c r="D33" s="51" t="inlineStr">
        <is>
          <t>ASSERT</t>
        </is>
      </c>
      <c r="E33" s="50" t="inlineStr">
        <is>
          <t>Invoice amount</t>
        </is>
      </c>
      <c r="F33" s="52" t="inlineStr">
        <is>
          <t>₹300</t>
        </is>
      </c>
      <c r="G33" s="57" t="inlineStr">
        <is>
          <t>₹500 charges − ₹200 advance = ₹300 balance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Repairs</t>
        </is>
      </c>
      <c r="C34" s="50" t="inlineStr">
        <is>
          <t>/gold-erp/repairs</t>
        </is>
      </c>
      <c r="D34" s="51" t="inlineStr">
        <is>
          <t>ASSERT</t>
        </is>
      </c>
      <c r="E34" s="50" t="inlineStr">
        <is>
          <t>GST on repair</t>
        </is>
      </c>
      <c r="F34" s="52" t="inlineStr">
        <is>
          <t>₹15</t>
        </is>
      </c>
      <c r="G34" s="57" t="inlineStr">
        <is>
          <t>5% GST on ₹300 (labour/service)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Repairs</t>
        </is>
      </c>
      <c r="C35" s="50" t="inlineStr">
        <is>
          <t>/gold-erp/repairs</t>
        </is>
      </c>
      <c r="D35" s="51" t="inlineStr">
        <is>
          <t>ASSERT</t>
        </is>
      </c>
      <c r="E35" s="50" t="inlineStr">
        <is>
          <t>Final invoice</t>
        </is>
      </c>
      <c r="F35" s="52" t="inlineStr">
        <is>
          <t>₹315</t>
        </is>
      </c>
      <c r="G35" s="57" t="inlineStr">
        <is>
          <t>₹300 + ₹15 GST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Repairs</t>
        </is>
      </c>
      <c r="C36" s="50" t="inlineStr">
        <is>
          <t>/gold-erp/repairs</t>
        </is>
      </c>
      <c r="D36" s="56" t="inlineStr">
        <is>
          <t>ENTER</t>
        </is>
      </c>
      <c r="E36" s="50" t="inlineStr">
        <is>
          <t>Payment received</t>
        </is>
      </c>
      <c r="F36" s="52" t="inlineStr">
        <is>
          <t>₹315 UPI</t>
        </is>
      </c>
      <c r="G36" s="52" t="inlineStr"/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Repairs</t>
        </is>
      </c>
      <c r="C37" s="50" t="inlineStr">
        <is>
          <t>/gold-erp/repairs</t>
        </is>
      </c>
      <c r="D37" s="51" t="inlineStr">
        <is>
          <t>ASSERT</t>
        </is>
      </c>
      <c r="E37" s="50" t="inlineStr">
        <is>
          <t>Repair status</t>
        </is>
      </c>
      <c r="F37" s="52" t="inlineStr">
        <is>
          <t>Delivered — Closed</t>
        </is>
      </c>
      <c r="G37" s="57" t="inlineStr">
        <is>
          <t>No open repairs for this customer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Repairs</t>
        </is>
      </c>
      <c r="C38" s="50" t="inlineStr">
        <is>
          <t>/gold-erp/repairs</t>
        </is>
      </c>
      <c r="D38" s="51" t="inlineStr">
        <is>
          <t>ASSERT</t>
        </is>
      </c>
      <c r="E38" s="50" t="inlineStr">
        <is>
          <t>Customer digital signature</t>
        </is>
      </c>
      <c r="F38" s="52" t="inlineStr">
        <is>
          <t>Captured on handover</t>
        </is>
      </c>
      <c r="G38" s="57" t="inlineStr">
        <is>
          <t>Required for dispute protection</t>
        </is>
      </c>
      <c r="H38" s="50" t="inlineStr"/>
      <c r="I38" s="53" t="inlineStr"/>
      <c r="J38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13: Refining Process — Wastage → Refinery → Refined Gold Back to Stock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Collect 8.5gm wastage → dispatch to SRC Refinery → receive 4.8gm refined gold back → update metal ledger → calculate refining P&amp;L loss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F13</t>
        </is>
      </c>
      <c r="C3" s="47" t="inlineStr">
        <is>
          <t>Steps</t>
        </is>
      </c>
      <c r="D3" s="48" t="n">
        <v>30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PURPOSE</t>
        </is>
      </c>
      <c r="F5" s="52" t="inlineStr"/>
      <c r="G5" s="52" t="inlineStr">
        <is>
          <t>This flow tests the wastage → refinery → refined gold return loop. Wastage from production over 1 week is sent to refinery and refined gold credited back to stock.</t>
        </is>
      </c>
      <c r="H5" s="50" t="inlineStr"/>
      <c r="I5" s="53" t="inlineStr"/>
      <c r="J5" s="50" t="inlineStr">
        <is>
          <t>Run after at least 2-3 production cycles</t>
        </is>
      </c>
    </row>
    <row r="6" ht="18" customHeight="1">
      <c r="A6" s="47" t="n">
        <v>2</v>
      </c>
      <c r="B6" s="50" t="inlineStr">
        <is>
          <t>Metal Ledger</t>
        </is>
      </c>
      <c r="C6" s="50" t="inlineStr">
        <is>
          <t>/gold-erp/metal-ledger</t>
        </is>
      </c>
      <c r="D6" s="54" t="inlineStr">
        <is>
          <t>NAVIGATE</t>
        </is>
      </c>
      <c r="E6" s="50" t="inlineStr"/>
      <c r="F6" s="52" t="inlineStr"/>
      <c r="G6" s="52" t="inlineStr">
        <is>
          <t>Metal ledger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Metal Ledger</t>
        </is>
      </c>
      <c r="C7" s="50" t="inlineStr">
        <is>
          <t>/gold-erp/metal-ledger</t>
        </is>
      </c>
      <c r="D7" s="51" t="inlineStr">
        <is>
          <t>ASSERT</t>
        </is>
      </c>
      <c r="E7" s="50" t="inlineStr">
        <is>
          <t>Wastage stock balance</t>
        </is>
      </c>
      <c r="F7" s="52" t="inlineStr">
        <is>
          <t>8.5 gm accumulated</t>
        </is>
      </c>
      <c r="G7" s="57" t="inlineStr">
        <is>
          <t>Filings + dust from multiple production jobs</t>
        </is>
      </c>
      <c r="H7" s="50" t="inlineStr"/>
      <c r="I7" s="53" t="inlineStr"/>
      <c r="J7" s="50" t="inlineStr">
        <is>
          <t>Prerequisite: run Flows 1+7 first</t>
        </is>
      </c>
    </row>
    <row r="8" ht="18" customHeight="1">
      <c r="A8" s="47" t="n">
        <v>4</v>
      </c>
      <c r="B8" s="50" t="inlineStr">
        <is>
          <t>Refining Entries</t>
        </is>
      </c>
      <c r="C8" s="50" t="inlineStr">
        <is>
          <t>/gold-erp/refining</t>
        </is>
      </c>
      <c r="D8" s="54" t="inlineStr">
        <is>
          <t>NAVIGATE</t>
        </is>
      </c>
      <c r="E8" s="50" t="inlineStr"/>
      <c r="F8" s="52" t="inlineStr"/>
      <c r="G8" s="52" t="inlineStr">
        <is>
          <t>Refining entries screen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Refining Entries</t>
        </is>
      </c>
      <c r="C9" s="50" t="inlineStr">
        <is>
          <t>/gold-erp/refining</t>
        </is>
      </c>
      <c r="D9" s="55" t="inlineStr">
        <is>
          <t>CLICK</t>
        </is>
      </c>
      <c r="E9" s="50" t="inlineStr">
        <is>
          <t>+ New Refinery Dispatch</t>
        </is>
      </c>
      <c r="F9" s="52" t="inlineStr"/>
      <c r="G9" s="52" t="inlineStr">
        <is>
          <t>Refinery dispatch form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Refining Entries</t>
        </is>
      </c>
      <c r="C10" s="50" t="inlineStr">
        <is>
          <t>/gold-erp/refining</t>
        </is>
      </c>
      <c r="D10" s="56" t="inlineStr">
        <is>
          <t>ENTER</t>
        </is>
      </c>
      <c r="E10" s="50" t="inlineStr">
        <is>
          <t>Refinery Name</t>
        </is>
      </c>
      <c r="F10" s="52" t="inlineStr">
        <is>
          <t>SRC Refinery, Hyderabad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Refining Entries</t>
        </is>
      </c>
      <c r="C11" s="50" t="inlineStr">
        <is>
          <t>/gold-erp/refining</t>
        </is>
      </c>
      <c r="D11" s="56" t="inlineStr">
        <is>
          <t>ENTER</t>
        </is>
      </c>
      <c r="E11" s="50" t="inlineStr">
        <is>
          <t>Material Sent — Type</t>
        </is>
      </c>
      <c r="F11" s="52" t="inlineStr">
        <is>
          <t>Mixed filings and dust (22K/18K)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Refining Entries</t>
        </is>
      </c>
      <c r="C12" s="50" t="inlineStr">
        <is>
          <t>/gold-erp/refining</t>
        </is>
      </c>
      <c r="D12" s="56" t="inlineStr">
        <is>
          <t>ENTER</t>
        </is>
      </c>
      <c r="E12" s="50" t="inlineStr">
        <is>
          <t>Gross Weight Sent (gm)</t>
        </is>
      </c>
      <c r="F12" s="52" t="inlineStr">
        <is>
          <t>8.5</t>
        </is>
      </c>
      <c r="G12" s="52" t="inlineStr">
        <is>
          <t>Total wastage collected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Refining Entries</t>
        </is>
      </c>
      <c r="C13" s="50" t="inlineStr">
        <is>
          <t>/gold-erp/refining</t>
        </is>
      </c>
      <c r="D13" s="56" t="inlineStr">
        <is>
          <t>ENTER</t>
        </is>
      </c>
      <c r="E13" s="50" t="inlineStr">
        <is>
          <t>Moisture Deduction (gm)</t>
        </is>
      </c>
      <c r="F13" s="52" t="inlineStr">
        <is>
          <t>0.3</t>
        </is>
      </c>
      <c r="G13" s="52" t="inlineStr">
        <is>
          <t>10 min drying deduction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Refining Entries</t>
        </is>
      </c>
      <c r="C14" s="50" t="inlineStr">
        <is>
          <t>/gold-erp/refining</t>
        </is>
      </c>
      <c r="D14" s="51" t="inlineStr">
        <is>
          <t>ASSERT</t>
        </is>
      </c>
      <c r="E14" s="50" t="inlineStr">
        <is>
          <t>Net Weight Sent (auto)</t>
        </is>
      </c>
      <c r="F14" s="52" t="inlineStr">
        <is>
          <t>8.2 gm</t>
        </is>
      </c>
      <c r="G14" s="57" t="inlineStr">
        <is>
          <t>8.5 − 0.3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Refining Entries</t>
        </is>
      </c>
      <c r="C15" s="50" t="inlineStr">
        <is>
          <t>/gold-erp/refining</t>
        </is>
      </c>
      <c r="D15" s="56" t="inlineStr">
        <is>
          <t>ENTER</t>
        </is>
      </c>
      <c r="E15" s="50" t="inlineStr">
        <is>
          <t>Estimated Purity (%)</t>
        </is>
      </c>
      <c r="F15" s="52" t="inlineStr">
        <is>
          <t>62</t>
        </is>
      </c>
      <c r="G15" s="52" t="inlineStr">
        <is>
          <t>Mixed 22K and 18K filings estimate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Refining Entries</t>
        </is>
      </c>
      <c r="C16" s="50" t="inlineStr">
        <is>
          <t>/gold-erp/refining</t>
        </is>
      </c>
      <c r="D16" s="51" t="inlineStr">
        <is>
          <t>ASSERT</t>
        </is>
      </c>
      <c r="E16" s="50" t="inlineStr">
        <is>
          <t>Estimated Gold Content (auto)</t>
        </is>
      </c>
      <c r="F16" s="52" t="inlineStr">
        <is>
          <t>5.08 gm</t>
        </is>
      </c>
      <c r="G16" s="57" t="inlineStr">
        <is>
          <t>8.2 × 0.62 = 5.08 gm expected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Refining Entries</t>
        </is>
      </c>
      <c r="C17" s="50" t="inlineStr">
        <is>
          <t>/gold-erp/refining</t>
        </is>
      </c>
      <c r="D17" s="56" t="inlineStr">
        <is>
          <t>ENTER</t>
        </is>
      </c>
      <c r="E17" s="50" t="inlineStr">
        <is>
          <t>Transit Insurance</t>
        </is>
      </c>
      <c r="F17" s="52" t="inlineStr">
        <is>
          <t>Yes — ₹35,000 insured</t>
        </is>
      </c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Refining Entries</t>
        </is>
      </c>
      <c r="C18" s="50" t="inlineStr">
        <is>
          <t>/gold-erp/refining</t>
        </is>
      </c>
      <c r="D18" s="56" t="inlineStr">
        <is>
          <t>ENTER</t>
        </is>
      </c>
      <c r="E18" s="50" t="inlineStr">
        <is>
          <t>Courier / Armoured Van</t>
        </is>
      </c>
      <c r="F18" s="52" t="inlineStr">
        <is>
          <t>SIS Prosegur Van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Refining Entries</t>
        </is>
      </c>
      <c r="C19" s="50" t="inlineStr">
        <is>
          <t>/gold-erp/refining</t>
        </is>
      </c>
      <c r="D19" s="56" t="inlineStr">
        <is>
          <t>ENTER</t>
        </is>
      </c>
      <c r="E19" s="50" t="inlineStr">
        <is>
          <t>Date Dispatched</t>
        </is>
      </c>
      <c r="F19" s="52" t="inlineStr">
        <is>
          <t>Today</t>
        </is>
      </c>
      <c r="G19" s="52" t="inlineStr"/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Refining Entries</t>
        </is>
      </c>
      <c r="C20" s="50" t="inlineStr">
        <is>
          <t>/gold-erp/refining</t>
        </is>
      </c>
      <c r="D20" s="55" t="inlineStr">
        <is>
          <t>CLICK</t>
        </is>
      </c>
      <c r="E20" s="50" t="inlineStr">
        <is>
          <t>Save Dispatch</t>
        </is>
      </c>
      <c r="F20" s="52" t="inlineStr"/>
      <c r="G20" s="52" t="inlineStr">
        <is>
          <t>REF-DISP-001 created. Wastage stock reduced by 8.5gm.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Metal Ledger</t>
        </is>
      </c>
      <c r="C21" s="50" t="inlineStr">
        <is>
          <t>/gold-erp/metal-ledger</t>
        </is>
      </c>
      <c r="D21" s="51" t="inlineStr">
        <is>
          <t>ASSERT</t>
        </is>
      </c>
      <c r="E21" s="50" t="inlineStr">
        <is>
          <t>Wastage stock after dispatch</t>
        </is>
      </c>
      <c r="F21" s="52" t="inlineStr">
        <is>
          <t>0.0 gm</t>
        </is>
      </c>
      <c r="G21" s="57" t="inlineStr">
        <is>
          <t>Stock sent to refinery — deducted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Refining Entries</t>
        </is>
      </c>
      <c r="C22" s="50" t="inlineStr">
        <is>
          <t>/gold-erp/refining</t>
        </is>
      </c>
      <c r="D22" s="58" t="inlineStr">
        <is>
          <t>NOTE</t>
        </is>
      </c>
      <c r="E22" s="50" t="inlineStr">
        <is>
          <t>— 3 days later — Refined gold received back —</t>
        </is>
      </c>
      <c r="F22" s="52" t="inlineStr"/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Refining Entries</t>
        </is>
      </c>
      <c r="C23" s="50" t="inlineStr">
        <is>
          <t>/gold-erp/refining</t>
        </is>
      </c>
      <c r="D23" s="55" t="inlineStr">
        <is>
          <t>CLICK</t>
        </is>
      </c>
      <c r="E23" s="50" t="inlineStr">
        <is>
          <t>Record Receipt — REF-DISP-001</t>
        </is>
      </c>
      <c r="F23" s="52" t="inlineStr"/>
      <c r="G23" s="52" t="inlineStr">
        <is>
          <t>Receipt form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Refining Entries</t>
        </is>
      </c>
      <c r="C24" s="50" t="inlineStr">
        <is>
          <t>/gold-erp/refining</t>
        </is>
      </c>
      <c r="D24" s="56" t="inlineStr">
        <is>
          <t>ENTER</t>
        </is>
      </c>
      <c r="E24" s="50" t="inlineStr">
        <is>
          <t>Date Received</t>
        </is>
      </c>
      <c r="F24" s="52" t="inlineStr">
        <is>
          <t>Today + 3 days</t>
        </is>
      </c>
      <c r="G24" s="52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Refining Entries</t>
        </is>
      </c>
      <c r="C25" s="50" t="inlineStr">
        <is>
          <t>/gold-erp/refining</t>
        </is>
      </c>
      <c r="D25" s="56" t="inlineStr">
        <is>
          <t>ENTER</t>
        </is>
      </c>
      <c r="E25" s="50" t="inlineStr">
        <is>
          <t>Refinery Assay Report (upload)</t>
        </is>
      </c>
      <c r="F25" s="52" t="inlineStr">
        <is>
          <t>assay_report_ref001.pdf</t>
        </is>
      </c>
      <c r="G25" s="52" t="inlineStr">
        <is>
          <t>Certificate from refinery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Refining Entries</t>
        </is>
      </c>
      <c r="C26" s="50" t="inlineStr">
        <is>
          <t>/gold-erp/refining</t>
        </is>
      </c>
      <c r="D26" s="56" t="inlineStr">
        <is>
          <t>ENTER</t>
        </is>
      </c>
      <c r="E26" s="50" t="inlineStr">
        <is>
          <t>Actual Purity (%)</t>
        </is>
      </c>
      <c r="F26" s="52" t="inlineStr">
        <is>
          <t>61.5</t>
        </is>
      </c>
      <c r="G26" s="52" t="inlineStr">
        <is>
          <t>Refinery's assay result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Refining Entries</t>
        </is>
      </c>
      <c r="C27" s="50" t="inlineStr">
        <is>
          <t>/gold-erp/refining</t>
        </is>
      </c>
      <c r="D27" s="56" t="inlineStr">
        <is>
          <t>ENTER</t>
        </is>
      </c>
      <c r="E27" s="50" t="inlineStr">
        <is>
          <t>Refined Gold Received (gm)</t>
        </is>
      </c>
      <c r="F27" s="52" t="inlineStr">
        <is>
          <t>4.8</t>
        </is>
      </c>
      <c r="G27" s="52" t="inlineStr">
        <is>
          <t>Actual gold returned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Refining Entries</t>
        </is>
      </c>
      <c r="C28" s="50" t="inlineStr">
        <is>
          <t>/gold-erp/refining</t>
        </is>
      </c>
      <c r="D28" s="51" t="inlineStr">
        <is>
          <t>ASSERT</t>
        </is>
      </c>
      <c r="E28" s="50" t="inlineStr">
        <is>
          <t>Recovery % (auto)</t>
        </is>
      </c>
      <c r="F28" s="52" t="inlineStr">
        <is>
          <t>58.5%</t>
        </is>
      </c>
      <c r="G28" s="57" t="inlineStr">
        <is>
          <t>4.8 / 8.2 net sent = 58.5%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Refining Entries</t>
        </is>
      </c>
      <c r="C29" s="50" t="inlineStr">
        <is>
          <t>/gold-erp/refining</t>
        </is>
      </c>
      <c r="D29" s="51" t="inlineStr">
        <is>
          <t>ASSERT</t>
        </is>
      </c>
      <c r="E29" s="50" t="inlineStr">
        <is>
          <t>Expected vs Actual</t>
        </is>
      </c>
      <c r="F29" s="52" t="inlineStr">
        <is>
          <t>5.08 expected — 4.8 received</t>
        </is>
      </c>
      <c r="G29" s="57" t="inlineStr">
        <is>
          <t>0.28 gm below estimate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Refining Entries</t>
        </is>
      </c>
      <c r="C30" s="50" t="inlineStr">
        <is>
          <t>/gold-erp/refining</t>
        </is>
      </c>
      <c r="D30" s="51" t="inlineStr">
        <is>
          <t>ASSERT</t>
        </is>
      </c>
      <c r="E30" s="50" t="inlineStr">
        <is>
          <t>Recovery within threshold</t>
        </is>
      </c>
      <c r="F30" s="52" t="inlineStr">
        <is>
          <t>⚠ WARNING: 58.5% &lt; 60% minimum</t>
        </is>
      </c>
      <c r="G30" s="57" t="inlineStr">
        <is>
          <t>Alert if recovery below configured threshold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Refining Entries</t>
        </is>
      </c>
      <c r="C31" s="50" t="inlineStr">
        <is>
          <t>/gold-erp/refining</t>
        </is>
      </c>
      <c r="D31" s="56" t="inlineStr">
        <is>
          <t>ENTER</t>
        </is>
      </c>
      <c r="E31" s="50" t="inlineStr">
        <is>
          <t>Refinery Charges Paid (₹)</t>
        </is>
      </c>
      <c r="F31" s="52" t="inlineStr">
        <is>
          <t>₹1,200</t>
        </is>
      </c>
      <c r="G31" s="52" t="inlineStr">
        <is>
          <t>Refining fees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Refining Entries</t>
        </is>
      </c>
      <c r="C32" s="50" t="inlineStr">
        <is>
          <t>/gold-erp/refining</t>
        </is>
      </c>
      <c r="D32" s="55" t="inlineStr">
        <is>
          <t>CLICK</t>
        </is>
      </c>
      <c r="E32" s="50" t="inlineStr">
        <is>
          <t>Credit to Stock</t>
        </is>
      </c>
      <c r="F32" s="52" t="inlineStr"/>
      <c r="G32" s="52" t="inlineStr">
        <is>
          <t>4.8 gm credited to raw gold stock. 22K equivalent.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Metal Ledger</t>
        </is>
      </c>
      <c r="C33" s="50" t="inlineStr">
        <is>
          <t>/gold-erp/metal-ledger</t>
        </is>
      </c>
      <c r="D33" s="51" t="inlineStr">
        <is>
          <t>ASSERT</t>
        </is>
      </c>
      <c r="E33" s="50" t="inlineStr">
        <is>
          <t>Raw gold stock after refinery return</t>
        </is>
      </c>
      <c r="F33" s="52" t="inlineStr">
        <is>
          <t>Previous + 4.8 gm</t>
        </is>
      </c>
      <c r="G33" s="57" t="inlineStr">
        <is>
          <t>Refined gold added back to usable stock</t>
        </is>
      </c>
      <c r="H33" s="50" t="inlineStr"/>
      <c r="I33" s="53" t="inlineStr"/>
      <c r="J33" s="50" t="inlineStr"/>
    </row>
    <row r="34" ht="32" customHeight="1">
      <c r="A34" s="47" t="n">
        <v>30</v>
      </c>
      <c r="B34" s="50" t="inlineStr">
        <is>
          <t>Metal Ledger</t>
        </is>
      </c>
      <c r="C34" s="50" t="inlineStr">
        <is>
          <t>/gold-erp/metal-ledger</t>
        </is>
      </c>
      <c r="D34" s="51" t="inlineStr">
        <is>
          <t>ASSERT</t>
        </is>
      </c>
      <c r="E34" s="50" t="inlineStr">
        <is>
          <t>Refining P&amp;L</t>
        </is>
      </c>
      <c r="F34" s="52" t="inlineStr">
        <is>
          <t>Loss: 3.4 gm (8.5 sent − 4.8 received) × ₹6,820 = ₹23,188 wastage cost</t>
        </is>
      </c>
      <c r="G34" s="57" t="inlineStr">
        <is>
          <t>Full wastage loop closed in metal P&amp;L</t>
        </is>
      </c>
      <c r="H34" s="50" t="inlineStr"/>
      <c r="I34" s="53" t="inlineStr"/>
      <c r="J34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14: Multi-Stage Production — 18K Diamond Ring (QC Fail → Rework → Pass)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PO for 18K ring → casting → filing → stone setting → polish → QC fails (loose stone) → rework → QC passes → finalize → settlement with excess wastage deduction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F14</t>
        </is>
      </c>
      <c r="C3" s="47" t="inlineStr">
        <is>
          <t>Steps</t>
        </is>
      </c>
      <c r="D3" s="48" t="n">
        <v>68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Production Orders</t>
        </is>
      </c>
      <c r="C5" s="50" t="inlineStr">
        <is>
          <t>/gold-erp/production-orders</t>
        </is>
      </c>
      <c r="D5" s="55" t="inlineStr">
        <is>
          <t>CLICK</t>
        </is>
      </c>
      <c r="E5" s="50" t="inlineStr">
        <is>
          <t>+ New Order</t>
        </is>
      </c>
      <c r="F5" s="52" t="inlineStr"/>
      <c r="G5" s="52" t="inlineStr"/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Production Orders</t>
        </is>
      </c>
      <c r="C6" s="50" t="inlineStr">
        <is>
          <t>/gold-erp/production-orders</t>
        </is>
      </c>
      <c r="D6" s="56" t="inlineStr">
        <is>
          <t>ENTER</t>
        </is>
      </c>
      <c r="E6" s="50" t="inlineStr">
        <is>
          <t>Design</t>
        </is>
      </c>
      <c r="F6" s="52" t="inlineStr">
        <is>
          <t>DS-RG-001 — 18K Diamond Ring</t>
        </is>
      </c>
      <c r="G6" s="52" t="inlineStr">
        <is>
          <t>Auto-fills 18K, 4.2gm target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Production Orders</t>
        </is>
      </c>
      <c r="C7" s="50" t="inlineStr">
        <is>
          <t>/gold-erp/production-orders</t>
        </is>
      </c>
      <c r="D7" s="56" t="inlineStr">
        <is>
          <t>ENTER</t>
        </is>
      </c>
      <c r="E7" s="50" t="inlineStr">
        <is>
          <t>Quantity</t>
        </is>
      </c>
      <c r="F7" s="52" t="inlineStr">
        <is>
          <t>1</t>
        </is>
      </c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Production Orders</t>
        </is>
      </c>
      <c r="C8" s="50" t="inlineStr">
        <is>
          <t>/gold-erp/production-orders</t>
        </is>
      </c>
      <c r="D8" s="56" t="inlineStr">
        <is>
          <t>ENTER</t>
        </is>
      </c>
      <c r="E8" s="50" t="inlineStr">
        <is>
          <t>Gold to Issue</t>
        </is>
      </c>
      <c r="F8" s="52" t="inlineStr">
        <is>
          <t>5.0 gm</t>
        </is>
      </c>
      <c r="G8" s="52" t="inlineStr">
        <is>
          <t>20% over target for wastage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Production Orders</t>
        </is>
      </c>
      <c r="C9" s="50" t="inlineStr">
        <is>
          <t>/gold-erp/production-orders</t>
        </is>
      </c>
      <c r="D9" s="56" t="inlineStr">
        <is>
          <t>ENTER</t>
        </is>
      </c>
      <c r="E9" s="50" t="inlineStr">
        <is>
          <t>Karigar</t>
        </is>
      </c>
      <c r="F9" s="52" t="inlineStr">
        <is>
          <t>Raju Goldsmith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Production Orders</t>
        </is>
      </c>
      <c r="C10" s="50" t="inlineStr">
        <is>
          <t>/gold-erp/production-orders</t>
        </is>
      </c>
      <c r="D10" s="55" t="inlineStr">
        <is>
          <t>CLICK</t>
        </is>
      </c>
      <c r="E10" s="50" t="inlineStr">
        <is>
          <t>Save</t>
        </is>
      </c>
      <c r="F10" s="52" t="inlineStr"/>
      <c r="G10" s="52" t="inlineStr">
        <is>
          <t>PO-2024-0002 created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Ghat Entries</t>
        </is>
      </c>
      <c r="C11" s="50" t="inlineStr">
        <is>
          <t>/gold-erp/ghat</t>
        </is>
      </c>
      <c r="D11" s="3" t="inlineStr">
        <is>
          <t>SECTION</t>
        </is>
      </c>
      <c r="E11" s="50" t="inlineStr">
        <is>
          <t>Stage: Pre-Casting Ghat</t>
        </is>
      </c>
      <c r="F11" s="52" t="inlineStr"/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Ghat Entries</t>
        </is>
      </c>
      <c r="C12" s="50" t="inlineStr">
        <is>
          <t>/gold-erp/ghat</t>
        </is>
      </c>
      <c r="D12" s="56" t="inlineStr">
        <is>
          <t>ENTER</t>
        </is>
      </c>
      <c r="E12" s="50" t="inlineStr">
        <is>
          <t>Production Order</t>
        </is>
      </c>
      <c r="F12" s="52" t="inlineStr">
        <is>
          <t>PO-2024-0002</t>
        </is>
      </c>
      <c r="G12" s="52" t="inlineStr"/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Ghat Entries</t>
        </is>
      </c>
      <c r="C13" s="50" t="inlineStr">
        <is>
          <t>/gold-erp/ghat</t>
        </is>
      </c>
      <c r="D13" s="56" t="inlineStr">
        <is>
          <t>ENTER</t>
        </is>
      </c>
      <c r="E13" s="50" t="inlineStr">
        <is>
          <t>Stage</t>
        </is>
      </c>
      <c r="F13" s="52" t="inlineStr">
        <is>
          <t>Pre-Casting</t>
        </is>
      </c>
      <c r="G13" s="52" t="inlineStr"/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Ghat Entries</t>
        </is>
      </c>
      <c r="C14" s="50" t="inlineStr">
        <is>
          <t>/gold-erp/ghat</t>
        </is>
      </c>
      <c r="D14" s="56" t="inlineStr">
        <is>
          <t>ENTER</t>
        </is>
      </c>
      <c r="E14" s="50" t="inlineStr">
        <is>
          <t>Gold Issued (gm)</t>
        </is>
      </c>
      <c r="F14" s="52" t="inlineStr">
        <is>
          <t>5.0</t>
        </is>
      </c>
      <c r="G14" s="52" t="inlineStr"/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Ghat Entries</t>
        </is>
      </c>
      <c r="C15" s="50" t="inlineStr">
        <is>
          <t>/gold-erp/ghat</t>
        </is>
      </c>
      <c r="D15" s="56" t="inlineStr">
        <is>
          <t>ENTER</t>
        </is>
      </c>
      <c r="E15" s="50" t="inlineStr">
        <is>
          <t>Purity Tested (%)</t>
        </is>
      </c>
      <c r="F15" s="52" t="inlineStr">
        <is>
          <t>75.0</t>
        </is>
      </c>
      <c r="G15" s="52" t="inlineStr">
        <is>
          <t>18K = 75.0%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Ghat Entries</t>
        </is>
      </c>
      <c r="C16" s="50" t="inlineStr">
        <is>
          <t>/gold-erp/ghat</t>
        </is>
      </c>
      <c r="D16" s="55" t="inlineStr">
        <is>
          <t>CLICK</t>
        </is>
      </c>
      <c r="E16" s="50" t="inlineStr">
        <is>
          <t>Save</t>
        </is>
      </c>
      <c r="F16" s="52" t="inlineStr"/>
      <c r="G16" s="52" t="inlineStr">
        <is>
          <t>Pre-casting ghat saved. Stage → Casting.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Production Orders</t>
        </is>
      </c>
      <c r="C17" s="50" t="inlineStr">
        <is>
          <t>/gold-erp/production-orders</t>
        </is>
      </c>
      <c r="D17" s="3" t="inlineStr">
        <is>
          <t>SECTION</t>
        </is>
      </c>
      <c r="E17" s="50" t="inlineStr">
        <is>
          <t>Stage: Casting</t>
        </is>
      </c>
      <c r="F17" s="52" t="inlineStr"/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Production Orders</t>
        </is>
      </c>
      <c r="C18" s="50" t="inlineStr">
        <is>
          <t>/gold-erp/production-orders</t>
        </is>
      </c>
      <c r="D18" s="55" t="inlineStr">
        <is>
          <t>CLICK</t>
        </is>
      </c>
      <c r="E18" s="50" t="inlineStr">
        <is>
          <t>Update Stage → Casting Complete</t>
        </is>
      </c>
      <c r="F18" s="52" t="inlineStr"/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Production Orders</t>
        </is>
      </c>
      <c r="C19" s="50" t="inlineStr">
        <is>
          <t>/gold-erp/production-orders</t>
        </is>
      </c>
      <c r="D19" s="56" t="inlineStr">
        <is>
          <t>ENTER</t>
        </is>
      </c>
      <c r="E19" s="50" t="inlineStr">
        <is>
          <t>Casting Weight (gm)</t>
        </is>
      </c>
      <c r="F19" s="52" t="inlineStr">
        <is>
          <t>4.8</t>
        </is>
      </c>
      <c r="G19" s="52" t="inlineStr">
        <is>
          <t>After casting and sprue removal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Production Orders</t>
        </is>
      </c>
      <c r="C20" s="50" t="inlineStr">
        <is>
          <t>/gold-erp/production-orders</t>
        </is>
      </c>
      <c r="D20" s="56" t="inlineStr">
        <is>
          <t>ENTER</t>
        </is>
      </c>
      <c r="E20" s="50" t="inlineStr">
        <is>
          <t>Casting Sprue Returned (gm)</t>
        </is>
      </c>
      <c r="F20" s="52" t="inlineStr">
        <is>
          <t>0.2</t>
        </is>
      </c>
      <c r="G20" s="52" t="inlineStr">
        <is>
          <t>Small sprue back to stock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Production Orders</t>
        </is>
      </c>
      <c r="C21" s="50" t="inlineStr">
        <is>
          <t>/gold-erp/production-orders</t>
        </is>
      </c>
      <c r="D21" s="51" t="inlineStr">
        <is>
          <t>ASSERT</t>
        </is>
      </c>
      <c r="E21" s="50" t="inlineStr">
        <is>
          <t>Sprue credited to stock</t>
        </is>
      </c>
      <c r="F21" s="52" t="inlineStr">
        <is>
          <t>0.2 gm added to raw gold</t>
        </is>
      </c>
      <c r="G21" s="57" t="inlineStr">
        <is>
          <t>Metal ledger entry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Production Orders</t>
        </is>
      </c>
      <c r="C22" s="50" t="inlineStr">
        <is>
          <t>/gold-erp/production-orders</t>
        </is>
      </c>
      <c r="D22" s="55" t="inlineStr">
        <is>
          <t>CLICK</t>
        </is>
      </c>
      <c r="E22" s="50" t="inlineStr">
        <is>
          <t>Save</t>
        </is>
      </c>
      <c r="F22" s="52" t="inlineStr"/>
      <c r="G22" s="52" t="inlineStr">
        <is>
          <t>Stage → Filing/Buffing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Production Orders</t>
        </is>
      </c>
      <c r="C23" s="50" t="inlineStr">
        <is>
          <t>/gold-erp/production-orders</t>
        </is>
      </c>
      <c r="D23" s="3" t="inlineStr">
        <is>
          <t>SECTION</t>
        </is>
      </c>
      <c r="E23" s="50" t="inlineStr">
        <is>
          <t>Stage: Filing &amp; Buffing</t>
        </is>
      </c>
      <c r="F23" s="52" t="inlineStr"/>
      <c r="G23" s="52" t="inlineStr"/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Production Orders</t>
        </is>
      </c>
      <c r="C24" s="50" t="inlineStr">
        <is>
          <t>/gold-erp/production-orders</t>
        </is>
      </c>
      <c r="D24" s="55" t="inlineStr">
        <is>
          <t>CLICK</t>
        </is>
      </c>
      <c r="E24" s="50" t="inlineStr">
        <is>
          <t>Update Stage → Filing Complete</t>
        </is>
      </c>
      <c r="F24" s="52" t="inlineStr"/>
      <c r="G24" s="52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Production Orders</t>
        </is>
      </c>
      <c r="C25" s="50" t="inlineStr">
        <is>
          <t>/gold-erp/production-orders</t>
        </is>
      </c>
      <c r="D25" s="56" t="inlineStr">
        <is>
          <t>ENTER</t>
        </is>
      </c>
      <c r="E25" s="50" t="inlineStr">
        <is>
          <t>Weight After Filing (gm)</t>
        </is>
      </c>
      <c r="F25" s="52" t="inlineStr">
        <is>
          <t>4.6</t>
        </is>
      </c>
      <c r="G25" s="52" t="inlineStr">
        <is>
          <t>0.2gm filing dust removed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Production Orders</t>
        </is>
      </c>
      <c r="C26" s="50" t="inlineStr">
        <is>
          <t>/gold-erp/production-orders</t>
        </is>
      </c>
      <c r="D26" s="56" t="inlineStr">
        <is>
          <t>ENTER</t>
        </is>
      </c>
      <c r="E26" s="50" t="inlineStr">
        <is>
          <t>Filing Dust Collected (gm)</t>
        </is>
      </c>
      <c r="F26" s="52" t="inlineStr">
        <is>
          <t>0.2</t>
        </is>
      </c>
      <c r="G26" s="52" t="inlineStr">
        <is>
          <t>Add to wastage stock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Production Orders</t>
        </is>
      </c>
      <c r="C27" s="50" t="inlineStr">
        <is>
          <t>/gold-erp/production-orders</t>
        </is>
      </c>
      <c r="D27" s="55" t="inlineStr">
        <is>
          <t>CLICK</t>
        </is>
      </c>
      <c r="E27" s="50" t="inlineStr">
        <is>
          <t>Save</t>
        </is>
      </c>
      <c r="F27" s="52" t="inlineStr"/>
      <c r="G27" s="52" t="inlineStr">
        <is>
          <t>Stage → Stone Setting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Production Orders</t>
        </is>
      </c>
      <c r="C28" s="50" t="inlineStr">
        <is>
          <t>/gold-erp/production-orders</t>
        </is>
      </c>
      <c r="D28" s="3" t="inlineStr">
        <is>
          <t>SECTION</t>
        </is>
      </c>
      <c r="E28" s="50" t="inlineStr">
        <is>
          <t>Stage: Stone Setting</t>
        </is>
      </c>
      <c r="F28" s="52" t="inlineStr"/>
      <c r="G28" s="52" t="inlineStr"/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Production Orders</t>
        </is>
      </c>
      <c r="C29" s="50" t="inlineStr">
        <is>
          <t>/gold-erp/production-orders</t>
        </is>
      </c>
      <c r="D29" s="55" t="inlineStr">
        <is>
          <t>CLICK</t>
        </is>
      </c>
      <c r="E29" s="50" t="inlineStr">
        <is>
          <t>Update Stage → Stone Setting Complete</t>
        </is>
      </c>
      <c r="F29" s="52" t="inlineStr"/>
      <c r="G29" s="52" t="inlineStr"/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Production Orders</t>
        </is>
      </c>
      <c r="C30" s="50" t="inlineStr">
        <is>
          <t>/gold-erp/production-orders</t>
        </is>
      </c>
      <c r="D30" s="56" t="inlineStr">
        <is>
          <t>ENTER</t>
        </is>
      </c>
      <c r="E30" s="50" t="inlineStr">
        <is>
          <t>Stone set: Diamond</t>
        </is>
      </c>
      <c r="F30" s="52" t="inlineStr">
        <is>
          <t>0.15 carat — 0.03 gm</t>
        </is>
      </c>
      <c r="G30" s="52" t="inlineStr">
        <is>
          <t>Round brilliant cut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Production Orders</t>
        </is>
      </c>
      <c r="C31" s="50" t="inlineStr">
        <is>
          <t>/gold-erp/production-orders</t>
        </is>
      </c>
      <c r="D31" s="56" t="inlineStr">
        <is>
          <t>ENTER</t>
        </is>
      </c>
      <c r="E31" s="50" t="inlineStr">
        <is>
          <t>Gold Weight (gm)</t>
        </is>
      </c>
      <c r="F31" s="52" t="inlineStr">
        <is>
          <t>4.6</t>
        </is>
      </c>
      <c r="G31" s="52" t="inlineStr">
        <is>
          <t>No gold lost in stone setting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Production Orders</t>
        </is>
      </c>
      <c r="C32" s="50" t="inlineStr">
        <is>
          <t>/gold-erp/production-orders</t>
        </is>
      </c>
      <c r="D32" s="55" t="inlineStr">
        <is>
          <t>CLICK</t>
        </is>
      </c>
      <c r="E32" s="50" t="inlineStr">
        <is>
          <t>Save</t>
        </is>
      </c>
      <c r="F32" s="52" t="inlineStr"/>
      <c r="G32" s="52" t="inlineStr">
        <is>
          <t>Stage → Polish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Production Orders</t>
        </is>
      </c>
      <c r="C33" s="50" t="inlineStr">
        <is>
          <t>/gold-erp/production-orders</t>
        </is>
      </c>
      <c r="D33" s="3" t="inlineStr">
        <is>
          <t>SECTION</t>
        </is>
      </c>
      <c r="E33" s="50" t="inlineStr">
        <is>
          <t>Stage: Polish</t>
        </is>
      </c>
      <c r="F33" s="52" t="inlineStr"/>
      <c r="G33" s="52" t="inlineStr"/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Production Orders</t>
        </is>
      </c>
      <c r="C34" s="50" t="inlineStr">
        <is>
          <t>/gold-erp/production-orders</t>
        </is>
      </c>
      <c r="D34" s="55" t="inlineStr">
        <is>
          <t>CLICK</t>
        </is>
      </c>
      <c r="E34" s="50" t="inlineStr">
        <is>
          <t>Update Stage → Polish Complete</t>
        </is>
      </c>
      <c r="F34" s="52" t="inlineStr"/>
      <c r="G34" s="52" t="inlineStr"/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Production Orders</t>
        </is>
      </c>
      <c r="C35" s="50" t="inlineStr">
        <is>
          <t>/gold-erp/production-orders</t>
        </is>
      </c>
      <c r="D35" s="56" t="inlineStr">
        <is>
          <t>ENTER</t>
        </is>
      </c>
      <c r="E35" s="50" t="inlineStr">
        <is>
          <t>Weight After Polish (gm)</t>
        </is>
      </c>
      <c r="F35" s="52" t="inlineStr">
        <is>
          <t>4.55</t>
        </is>
      </c>
      <c r="G35" s="52" t="inlineStr">
        <is>
          <t>0.05gm polish dust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Production Orders</t>
        </is>
      </c>
      <c r="C36" s="50" t="inlineStr">
        <is>
          <t>/gold-erp/production-orders</t>
        </is>
      </c>
      <c r="D36" s="56" t="inlineStr">
        <is>
          <t>ENTER</t>
        </is>
      </c>
      <c r="E36" s="50" t="inlineStr">
        <is>
          <t>Polish Dust Collected (gm)</t>
        </is>
      </c>
      <c r="F36" s="52" t="inlineStr">
        <is>
          <t>0.05</t>
        </is>
      </c>
      <c r="G36" s="52" t="inlineStr">
        <is>
          <t>Add to wastage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Production Orders</t>
        </is>
      </c>
      <c r="C37" s="50" t="inlineStr">
        <is>
          <t>/gold-erp/production-orders</t>
        </is>
      </c>
      <c r="D37" s="55" t="inlineStr">
        <is>
          <t>CLICK</t>
        </is>
      </c>
      <c r="E37" s="50" t="inlineStr">
        <is>
          <t>Save</t>
        </is>
      </c>
      <c r="F37" s="52" t="inlineStr"/>
      <c r="G37" s="52" t="inlineStr">
        <is>
          <t>Stage → QC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Production Orders</t>
        </is>
      </c>
      <c r="C38" s="50" t="inlineStr">
        <is>
          <t>/gold-erp/production-orders</t>
        </is>
      </c>
      <c r="D38" s="3" t="inlineStr">
        <is>
          <t>SECTION</t>
        </is>
      </c>
      <c r="E38" s="50" t="inlineStr">
        <is>
          <t>Stage: QC — First Attempt FAILS</t>
        </is>
      </c>
      <c r="F38" s="52" t="inlineStr"/>
      <c r="G38" s="52" t="inlineStr"/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Production Orders</t>
        </is>
      </c>
      <c r="C39" s="50" t="inlineStr">
        <is>
          <t>/gold-erp/production-orders</t>
        </is>
      </c>
      <c r="D39" s="55" t="inlineStr">
        <is>
          <t>CLICK</t>
        </is>
      </c>
      <c r="E39" s="50" t="inlineStr">
        <is>
          <t>Submit QC Check</t>
        </is>
      </c>
      <c r="F39" s="52" t="inlineStr"/>
      <c r="G39" s="52" t="inlineStr">
        <is>
          <t>QC form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Production Orders</t>
        </is>
      </c>
      <c r="C40" s="50" t="inlineStr">
        <is>
          <t>/gold-erp/production-orders</t>
        </is>
      </c>
      <c r="D40" s="56" t="inlineStr">
        <is>
          <t>ENTER</t>
        </is>
      </c>
      <c r="E40" s="50" t="inlineStr">
        <is>
          <t>Stone Secure</t>
        </is>
      </c>
      <c r="F40" s="52" t="inlineStr">
        <is>
          <t>FAIL</t>
        </is>
      </c>
      <c r="G40" s="52" t="inlineStr">
        <is>
          <t>Stone slightly loose</t>
        </is>
      </c>
      <c r="H40" s="50" t="inlineStr"/>
      <c r="I40" s="53" t="inlineStr"/>
      <c r="J40" s="50" t="inlineStr"/>
    </row>
    <row r="41" ht="18" customHeight="1">
      <c r="A41" s="47" t="n">
        <v>37</v>
      </c>
      <c r="B41" s="50" t="inlineStr">
        <is>
          <t>Production Orders</t>
        </is>
      </c>
      <c r="C41" s="50" t="inlineStr">
        <is>
          <t>/gold-erp/production-orders</t>
        </is>
      </c>
      <c r="D41" s="56" t="inlineStr">
        <is>
          <t>ENTER</t>
        </is>
      </c>
      <c r="E41" s="50" t="inlineStr">
        <is>
          <t>QC Result</t>
        </is>
      </c>
      <c r="F41" s="52" t="inlineStr">
        <is>
          <t>FAIL — Rework required</t>
        </is>
      </c>
      <c r="G41" s="52" t="inlineStr"/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Production Orders</t>
        </is>
      </c>
      <c r="C42" s="50" t="inlineStr">
        <is>
          <t>/gold-erp/production-orders</t>
        </is>
      </c>
      <c r="D42" s="56" t="inlineStr">
        <is>
          <t>ENTER</t>
        </is>
      </c>
      <c r="E42" s="50" t="inlineStr">
        <is>
          <t>Rework Instructions</t>
        </is>
      </c>
      <c r="F42" s="52" t="inlineStr">
        <is>
          <t>Re-set diamond more securely</t>
        </is>
      </c>
      <c r="G42" s="52" t="inlineStr"/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Production Orders</t>
        </is>
      </c>
      <c r="C43" s="50" t="inlineStr">
        <is>
          <t>/gold-erp/production-orders</t>
        </is>
      </c>
      <c r="D43" s="55" t="inlineStr">
        <is>
          <t>CLICK</t>
        </is>
      </c>
      <c r="E43" s="50" t="inlineStr">
        <is>
          <t>Save — Send to Rework</t>
        </is>
      </c>
      <c r="F43" s="52" t="inlineStr"/>
      <c r="G43" s="52" t="inlineStr">
        <is>
          <t>Stage → Rework. Alert to karigar.</t>
        </is>
      </c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Production Orders</t>
        </is>
      </c>
      <c r="C44" s="50" t="inlineStr">
        <is>
          <t>/gold-erp/production-orders</t>
        </is>
      </c>
      <c r="D44" s="51" t="inlineStr">
        <is>
          <t>ASSERT</t>
        </is>
      </c>
      <c r="E44" s="50" t="inlineStr">
        <is>
          <t>QC failure logged</t>
        </is>
      </c>
      <c r="F44" s="52" t="inlineStr">
        <is>
          <t>1 QC failure recorded on PO-2024-0002</t>
        </is>
      </c>
      <c r="G44" s="57" t="inlineStr">
        <is>
          <t>Track rework rate metric</t>
        </is>
      </c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Production Orders</t>
        </is>
      </c>
      <c r="C45" s="50" t="inlineStr">
        <is>
          <t>/gold-erp/production-orders</t>
        </is>
      </c>
      <c r="D45" s="3" t="inlineStr">
        <is>
          <t>SECTION</t>
        </is>
      </c>
      <c r="E45" s="50" t="inlineStr">
        <is>
          <t>Stage: QC — Second Attempt PASSES</t>
        </is>
      </c>
      <c r="F45" s="52" t="inlineStr"/>
      <c r="G45" s="52" t="inlineStr"/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Production Orders</t>
        </is>
      </c>
      <c r="C46" s="50" t="inlineStr">
        <is>
          <t>/gold-erp/production-orders</t>
        </is>
      </c>
      <c r="D46" s="55" t="inlineStr">
        <is>
          <t>CLICK</t>
        </is>
      </c>
      <c r="E46" s="50" t="inlineStr">
        <is>
          <t>Submit QC Check (2nd)</t>
        </is>
      </c>
      <c r="F46" s="52" t="inlineStr"/>
      <c r="G46" s="52" t="inlineStr"/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Production Orders</t>
        </is>
      </c>
      <c r="C47" s="50" t="inlineStr">
        <is>
          <t>/gold-erp/production-orders</t>
        </is>
      </c>
      <c r="D47" s="56" t="inlineStr">
        <is>
          <t>ENTER</t>
        </is>
      </c>
      <c r="E47" s="50" t="inlineStr">
        <is>
          <t>Stone Secure</t>
        </is>
      </c>
      <c r="F47" s="52" t="inlineStr">
        <is>
          <t>PASS</t>
        </is>
      </c>
      <c r="G47" s="52" t="inlineStr"/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Production Orders</t>
        </is>
      </c>
      <c r="C48" s="50" t="inlineStr">
        <is>
          <t>/gold-erp/production-orders</t>
        </is>
      </c>
      <c r="D48" s="56" t="inlineStr">
        <is>
          <t>ENTER</t>
        </is>
      </c>
      <c r="E48" s="50" t="inlineStr">
        <is>
          <t>Finish Quality</t>
        </is>
      </c>
      <c r="F48" s="52" t="inlineStr">
        <is>
          <t>PASS — Mirror finish</t>
        </is>
      </c>
      <c r="G48" s="52" t="inlineStr"/>
      <c r="H48" s="50" t="inlineStr"/>
      <c r="I48" s="53" t="inlineStr"/>
      <c r="J48" s="50" t="inlineStr"/>
    </row>
    <row r="49" ht="18" customHeight="1">
      <c r="A49" s="47" t="n">
        <v>45</v>
      </c>
      <c r="B49" s="50" t="inlineStr">
        <is>
          <t>Production Orders</t>
        </is>
      </c>
      <c r="C49" s="50" t="inlineStr">
        <is>
          <t>/gold-erp/production-orders</t>
        </is>
      </c>
      <c r="D49" s="56" t="inlineStr">
        <is>
          <t>ENTER</t>
        </is>
      </c>
      <c r="E49" s="50" t="inlineStr">
        <is>
          <t>Weight Match</t>
        </is>
      </c>
      <c r="F49" s="52" t="inlineStr">
        <is>
          <t>PASS — 4.55gm (target 4.2gm + stone)</t>
        </is>
      </c>
      <c r="G49" s="52" t="inlineStr"/>
      <c r="H49" s="50" t="inlineStr"/>
      <c r="I49" s="53" t="inlineStr"/>
      <c r="J49" s="50" t="inlineStr"/>
    </row>
    <row r="50" ht="18" customHeight="1">
      <c r="A50" s="47" t="n">
        <v>46</v>
      </c>
      <c r="B50" s="50" t="inlineStr">
        <is>
          <t>Production Orders</t>
        </is>
      </c>
      <c r="C50" s="50" t="inlineStr">
        <is>
          <t>/gold-erp/production-orders</t>
        </is>
      </c>
      <c r="D50" s="56" t="inlineStr">
        <is>
          <t>ENTER</t>
        </is>
      </c>
      <c r="E50" s="50" t="inlineStr">
        <is>
          <t>QC Result</t>
        </is>
      </c>
      <c r="F50" s="52" t="inlineStr">
        <is>
          <t>PASS</t>
        </is>
      </c>
      <c r="G50" s="52" t="inlineStr"/>
      <c r="H50" s="50" t="inlineStr"/>
      <c r="I50" s="53" t="inlineStr"/>
      <c r="J50" s="50" t="inlineStr"/>
    </row>
    <row r="51" ht="18" customHeight="1">
      <c r="A51" s="47" t="n">
        <v>47</v>
      </c>
      <c r="B51" s="50" t="inlineStr">
        <is>
          <t>Production Orders</t>
        </is>
      </c>
      <c r="C51" s="50" t="inlineStr">
        <is>
          <t>/gold-erp/production-orders</t>
        </is>
      </c>
      <c r="D51" s="55" t="inlineStr">
        <is>
          <t>CLICK</t>
        </is>
      </c>
      <c r="E51" s="50" t="inlineStr">
        <is>
          <t>Save — Move to Finalize</t>
        </is>
      </c>
      <c r="F51" s="52" t="inlineStr"/>
      <c r="G51" s="52" t="inlineStr">
        <is>
          <t>Stage → Finalize</t>
        </is>
      </c>
      <c r="H51" s="50" t="inlineStr"/>
      <c r="I51" s="53" t="inlineStr"/>
      <c r="J51" s="50" t="inlineStr"/>
    </row>
    <row r="52" ht="18" customHeight="1">
      <c r="A52" s="47" t="n">
        <v>48</v>
      </c>
      <c r="B52" s="50" t="inlineStr">
        <is>
          <t>Job Finalize</t>
        </is>
      </c>
      <c r="C52" s="50" t="inlineStr">
        <is>
          <t>/gold-erp/job-finalize</t>
        </is>
      </c>
      <c r="D52" s="3" t="inlineStr">
        <is>
          <t>SECTION</t>
        </is>
      </c>
      <c r="E52" s="50" t="inlineStr">
        <is>
          <t>Job Finalize + HUID</t>
        </is>
      </c>
      <c r="F52" s="52" t="inlineStr"/>
      <c r="G52" s="52" t="inlineStr"/>
      <c r="H52" s="50" t="inlineStr"/>
      <c r="I52" s="53" t="inlineStr"/>
      <c r="J52" s="50" t="inlineStr"/>
    </row>
    <row r="53" ht="18" customHeight="1">
      <c r="A53" s="47" t="n">
        <v>49</v>
      </c>
      <c r="B53" s="50" t="inlineStr">
        <is>
          <t>Job Finalize</t>
        </is>
      </c>
      <c r="C53" s="50" t="inlineStr">
        <is>
          <t>/gold-erp/job-finalize</t>
        </is>
      </c>
      <c r="D53" s="56" t="inlineStr">
        <is>
          <t>ENTER</t>
        </is>
      </c>
      <c r="E53" s="50" t="inlineStr">
        <is>
          <t>Production Order</t>
        </is>
      </c>
      <c r="F53" s="52" t="inlineStr">
        <is>
          <t>PO-2024-0002</t>
        </is>
      </c>
      <c r="G53" s="52" t="inlineStr"/>
      <c r="H53" s="50" t="inlineStr"/>
      <c r="I53" s="53" t="inlineStr"/>
      <c r="J53" s="50" t="inlineStr"/>
    </row>
    <row r="54" ht="18" customHeight="1">
      <c r="A54" s="47" t="n">
        <v>50</v>
      </c>
      <c r="B54" s="50" t="inlineStr">
        <is>
          <t>Job Finalize</t>
        </is>
      </c>
      <c r="C54" s="50" t="inlineStr">
        <is>
          <t>/gold-erp/job-finalize</t>
        </is>
      </c>
      <c r="D54" s="56" t="inlineStr">
        <is>
          <t>ENTER</t>
        </is>
      </c>
      <c r="E54" s="50" t="inlineStr">
        <is>
          <t>Final Gold Weight (gm)</t>
        </is>
      </c>
      <c r="F54" s="52" t="inlineStr">
        <is>
          <t>4.55</t>
        </is>
      </c>
      <c r="G54" s="52" t="inlineStr">
        <is>
          <t>18K gold only</t>
        </is>
      </c>
      <c r="H54" s="50" t="inlineStr"/>
      <c r="I54" s="53" t="inlineStr"/>
      <c r="J54" s="50" t="inlineStr"/>
    </row>
    <row r="55" ht="18" customHeight="1">
      <c r="A55" s="47" t="n">
        <v>51</v>
      </c>
      <c r="B55" s="50" t="inlineStr">
        <is>
          <t>Job Finalize</t>
        </is>
      </c>
      <c r="C55" s="50" t="inlineStr">
        <is>
          <t>/gold-erp/job-finalize</t>
        </is>
      </c>
      <c r="D55" s="56" t="inlineStr">
        <is>
          <t>ENTER</t>
        </is>
      </c>
      <c r="E55" s="50" t="inlineStr">
        <is>
          <t>Stone Weight (gm)</t>
        </is>
      </c>
      <c r="F55" s="52" t="inlineStr">
        <is>
          <t>0.03</t>
        </is>
      </c>
      <c r="G55" s="52" t="inlineStr">
        <is>
          <t>Diamond 0.15 carat</t>
        </is>
      </c>
      <c r="H55" s="50" t="inlineStr"/>
      <c r="I55" s="53" t="inlineStr"/>
      <c r="J55" s="50" t="inlineStr"/>
    </row>
    <row r="56" ht="18" customHeight="1">
      <c r="A56" s="47" t="n">
        <v>52</v>
      </c>
      <c r="B56" s="50" t="inlineStr">
        <is>
          <t>Job Finalize</t>
        </is>
      </c>
      <c r="C56" s="50" t="inlineStr">
        <is>
          <t>/gold-erp/job-finalize</t>
        </is>
      </c>
      <c r="D56" s="56" t="inlineStr">
        <is>
          <t>ENTER</t>
        </is>
      </c>
      <c r="E56" s="50" t="inlineStr">
        <is>
          <t>Gross Weight (gm)</t>
        </is>
      </c>
      <c r="F56" s="52" t="inlineStr">
        <is>
          <t>4.58</t>
        </is>
      </c>
      <c r="G56" s="52" t="inlineStr">
        <is>
          <t>4.55 + 0.03</t>
        </is>
      </c>
      <c r="H56" s="50" t="inlineStr"/>
      <c r="I56" s="53" t="inlineStr"/>
      <c r="J56" s="50" t="inlineStr"/>
    </row>
    <row r="57" ht="18" customHeight="1">
      <c r="A57" s="47" t="n">
        <v>53</v>
      </c>
      <c r="B57" s="50" t="inlineStr">
        <is>
          <t>Job Finalize</t>
        </is>
      </c>
      <c r="C57" s="50" t="inlineStr">
        <is>
          <t>/gold-erp/job-finalize</t>
        </is>
      </c>
      <c r="D57" s="56" t="inlineStr">
        <is>
          <t>ENTER</t>
        </is>
      </c>
      <c r="E57" s="50" t="inlineStr">
        <is>
          <t>HUID</t>
        </is>
      </c>
      <c r="F57" s="52" t="inlineStr">
        <is>
          <t>IN00125009</t>
        </is>
      </c>
      <c r="G57" s="52" t="inlineStr">
        <is>
          <t>18K hallmark</t>
        </is>
      </c>
      <c r="H57" s="50" t="inlineStr"/>
      <c r="I57" s="53" t="inlineStr"/>
      <c r="J57" s="50" t="inlineStr"/>
    </row>
    <row r="58" ht="18" customHeight="1">
      <c r="A58" s="47" t="n">
        <v>54</v>
      </c>
      <c r="B58" s="50" t="inlineStr">
        <is>
          <t>Job Finalize</t>
        </is>
      </c>
      <c r="C58" s="50" t="inlineStr">
        <is>
          <t>/gold-erp/job-finalize</t>
        </is>
      </c>
      <c r="D58" s="55" t="inlineStr">
        <is>
          <t>CLICK</t>
        </is>
      </c>
      <c r="E58" s="50" t="inlineStr">
        <is>
          <t>Generate Tag + Finalize</t>
        </is>
      </c>
      <c r="F58" s="52" t="inlineStr"/>
      <c r="G58" s="52" t="inlineStr">
        <is>
          <t>DT-0060 created. Stage = Complete.</t>
        </is>
      </c>
      <c r="H58" s="50" t="inlineStr"/>
      <c r="I58" s="53" t="inlineStr"/>
      <c r="J58" s="50" t="inlineStr"/>
    </row>
    <row r="59" ht="18" customHeight="1">
      <c r="A59" s="47" t="n">
        <v>55</v>
      </c>
      <c r="B59" s="50" t="inlineStr">
        <is>
          <t>Karigar Settlement</t>
        </is>
      </c>
      <c r="C59" s="50" t="inlineStr">
        <is>
          <t>/gold-erp/karigar-settlement</t>
        </is>
      </c>
      <c r="D59" s="3" t="inlineStr">
        <is>
          <t>SECTION</t>
        </is>
      </c>
      <c r="E59" s="50" t="inlineStr">
        <is>
          <t>Settlement with QC Rework Penalty</t>
        </is>
      </c>
      <c r="F59" s="52" t="inlineStr"/>
      <c r="G59" s="52" t="inlineStr"/>
      <c r="H59" s="50" t="inlineStr"/>
      <c r="I59" s="53" t="inlineStr"/>
      <c r="J59" s="50" t="inlineStr"/>
    </row>
    <row r="60" ht="18" customHeight="1">
      <c r="A60" s="47" t="n">
        <v>56</v>
      </c>
      <c r="B60" s="50" t="inlineStr">
        <is>
          <t>Karigar Settlement</t>
        </is>
      </c>
      <c r="C60" s="50" t="inlineStr">
        <is>
          <t>/gold-erp/karigar-settlement</t>
        </is>
      </c>
      <c r="D60" s="56" t="inlineStr">
        <is>
          <t>ENTER</t>
        </is>
      </c>
      <c r="E60" s="50" t="inlineStr">
        <is>
          <t>Production Order</t>
        </is>
      </c>
      <c r="F60" s="52" t="inlineStr">
        <is>
          <t>PO-2024-0002</t>
        </is>
      </c>
      <c r="G60" s="52" t="inlineStr"/>
      <c r="H60" s="50" t="inlineStr"/>
      <c r="I60" s="53" t="inlineStr"/>
      <c r="J60" s="50" t="inlineStr"/>
    </row>
    <row r="61" ht="18" customHeight="1">
      <c r="A61" s="47" t="n">
        <v>57</v>
      </c>
      <c r="B61" s="50" t="inlineStr">
        <is>
          <t>Karigar Settlement</t>
        </is>
      </c>
      <c r="C61" s="50" t="inlineStr">
        <is>
          <t>/gold-erp/karigar-settlement</t>
        </is>
      </c>
      <c r="D61" s="51" t="inlineStr">
        <is>
          <t>ASSERT</t>
        </is>
      </c>
      <c r="E61" s="50" t="inlineStr">
        <is>
          <t>Gold Issued</t>
        </is>
      </c>
      <c r="F61" s="52" t="inlineStr">
        <is>
          <t>5.0 gm</t>
        </is>
      </c>
      <c r="G61" s="57" t="inlineStr"/>
      <c r="H61" s="50" t="inlineStr"/>
      <c r="I61" s="53" t="inlineStr"/>
      <c r="J61" s="50" t="inlineStr"/>
    </row>
    <row r="62" ht="18" customHeight="1">
      <c r="A62" s="47" t="n">
        <v>58</v>
      </c>
      <c r="B62" s="50" t="inlineStr">
        <is>
          <t>Karigar Settlement</t>
        </is>
      </c>
      <c r="C62" s="50" t="inlineStr">
        <is>
          <t>/gold-erp/karigar-settlement</t>
        </is>
      </c>
      <c r="D62" s="51" t="inlineStr">
        <is>
          <t>ASSERT</t>
        </is>
      </c>
      <c r="E62" s="50" t="inlineStr">
        <is>
          <t>Gold in Piece</t>
        </is>
      </c>
      <c r="F62" s="52" t="inlineStr">
        <is>
          <t>4.55 gm</t>
        </is>
      </c>
      <c r="G62" s="57" t="inlineStr"/>
      <c r="H62" s="50" t="inlineStr"/>
      <c r="I62" s="53" t="inlineStr"/>
      <c r="J62" s="50" t="inlineStr"/>
    </row>
    <row r="63" ht="18" customHeight="1">
      <c r="A63" s="47" t="n">
        <v>59</v>
      </c>
      <c r="B63" s="50" t="inlineStr">
        <is>
          <t>Karigar Settlement</t>
        </is>
      </c>
      <c r="C63" s="50" t="inlineStr">
        <is>
          <t>/gold-erp/karigar-settlement</t>
        </is>
      </c>
      <c r="D63" s="56" t="inlineStr">
        <is>
          <t>ENTER</t>
        </is>
      </c>
      <c r="E63" s="50" t="inlineStr">
        <is>
          <t>Wastage Collected</t>
        </is>
      </c>
      <c r="F63" s="52" t="inlineStr">
        <is>
          <t>0.25 gm</t>
        </is>
      </c>
      <c r="G63" s="52" t="inlineStr">
        <is>
          <t>0.2 filing + 0.05 polish</t>
        </is>
      </c>
      <c r="H63" s="50" t="inlineStr"/>
      <c r="I63" s="53" t="inlineStr"/>
      <c r="J63" s="50" t="inlineStr"/>
    </row>
    <row r="64" ht="18" customHeight="1">
      <c r="A64" s="47" t="n">
        <v>60</v>
      </c>
      <c r="B64" s="50" t="inlineStr">
        <is>
          <t>Karigar Settlement</t>
        </is>
      </c>
      <c r="C64" s="50" t="inlineStr">
        <is>
          <t>/gold-erp/karigar-settlement</t>
        </is>
      </c>
      <c r="D64" s="51" t="inlineStr">
        <is>
          <t>ASSERT</t>
        </is>
      </c>
      <c r="E64" s="50" t="inlineStr">
        <is>
          <t>Total Accounted</t>
        </is>
      </c>
      <c r="F64" s="52" t="inlineStr">
        <is>
          <t>4.8 gm</t>
        </is>
      </c>
      <c r="G64" s="57" t="inlineStr">
        <is>
          <t>4.55 + 0.25</t>
        </is>
      </c>
      <c r="H64" s="50" t="inlineStr"/>
      <c r="I64" s="53" t="inlineStr"/>
      <c r="J64" s="50" t="inlineStr"/>
    </row>
    <row r="65" ht="18" customHeight="1">
      <c r="A65" s="47" t="n">
        <v>61</v>
      </c>
      <c r="B65" s="50" t="inlineStr">
        <is>
          <t>Karigar Settlement</t>
        </is>
      </c>
      <c r="C65" s="50" t="inlineStr">
        <is>
          <t>/gold-erp/karigar-settlement</t>
        </is>
      </c>
      <c r="D65" s="51" t="inlineStr">
        <is>
          <t>ASSERT</t>
        </is>
      </c>
      <c r="E65" s="50" t="inlineStr">
        <is>
          <t>Unaccounted</t>
        </is>
      </c>
      <c r="F65" s="52" t="inlineStr">
        <is>
          <t>0.2 gm</t>
        </is>
      </c>
      <c r="G65" s="57" t="inlineStr">
        <is>
          <t>5.0 − 4.8</t>
        </is>
      </c>
      <c r="H65" s="50" t="inlineStr"/>
      <c r="I65" s="53" t="inlineStr"/>
      <c r="J65" s="50" t="inlineStr"/>
    </row>
    <row r="66" ht="18" customHeight="1">
      <c r="A66" s="47" t="n">
        <v>62</v>
      </c>
      <c r="B66" s="50" t="inlineStr">
        <is>
          <t>Karigar Settlement</t>
        </is>
      </c>
      <c r="C66" s="50" t="inlineStr">
        <is>
          <t>/gold-erp/karigar-settlement</t>
        </is>
      </c>
      <c r="D66" s="51" t="inlineStr">
        <is>
          <t>ASSERT</t>
        </is>
      </c>
      <c r="E66" s="50" t="inlineStr">
        <is>
          <t>Total Wastage</t>
        </is>
      </c>
      <c r="F66" s="52" t="inlineStr">
        <is>
          <t>0.45 gm</t>
        </is>
      </c>
      <c r="G66" s="57" t="inlineStr">
        <is>
          <t>0.25 + 0.2</t>
        </is>
      </c>
      <c r="H66" s="50" t="inlineStr"/>
      <c r="I66" s="53" t="inlineStr"/>
      <c r="J66" s="50" t="inlineStr"/>
    </row>
    <row r="67" ht="18" customHeight="1">
      <c r="A67" s="47" t="n">
        <v>63</v>
      </c>
      <c r="B67" s="50" t="inlineStr">
        <is>
          <t>Karigar Settlement</t>
        </is>
      </c>
      <c r="C67" s="50" t="inlineStr">
        <is>
          <t>/gold-erp/karigar-settlement</t>
        </is>
      </c>
      <c r="D67" s="51" t="inlineStr">
        <is>
          <t>ASSERT</t>
        </is>
      </c>
      <c r="E67" s="50" t="inlineStr">
        <is>
          <t>Allowed Wastage (5%)</t>
        </is>
      </c>
      <c r="F67" s="52" t="inlineStr">
        <is>
          <t>0.25 gm</t>
        </is>
      </c>
      <c r="G67" s="57" t="inlineStr">
        <is>
          <t>5% of 5.0gm</t>
        </is>
      </c>
      <c r="H67" s="50" t="inlineStr"/>
      <c r="I67" s="53" t="inlineStr"/>
      <c r="J67" s="50" t="inlineStr"/>
    </row>
    <row r="68" ht="18" customHeight="1">
      <c r="A68" s="47" t="n">
        <v>64</v>
      </c>
      <c r="B68" s="50" t="inlineStr">
        <is>
          <t>Karigar Settlement</t>
        </is>
      </c>
      <c r="C68" s="50" t="inlineStr">
        <is>
          <t>/gold-erp/karigar-settlement</t>
        </is>
      </c>
      <c r="D68" s="51" t="inlineStr">
        <is>
          <t>ASSERT</t>
        </is>
      </c>
      <c r="E68" s="50" t="inlineStr">
        <is>
          <t>Excess Wastage</t>
        </is>
      </c>
      <c r="F68" s="52" t="inlineStr">
        <is>
          <t>0.20 gm</t>
        </is>
      </c>
      <c r="G68" s="57" t="inlineStr">
        <is>
          <t>0.45 − 0.25</t>
        </is>
      </c>
      <c r="H68" s="50" t="inlineStr"/>
      <c r="I68" s="53" t="inlineStr"/>
      <c r="J68" s="50" t="inlineStr"/>
    </row>
    <row r="69" ht="18" customHeight="1">
      <c r="A69" s="47" t="n">
        <v>65</v>
      </c>
      <c r="B69" s="50" t="inlineStr">
        <is>
          <t>Karigar Settlement</t>
        </is>
      </c>
      <c r="C69" s="50" t="inlineStr">
        <is>
          <t>/gold-erp/karigar-settlement</t>
        </is>
      </c>
      <c r="D69" s="51" t="inlineStr">
        <is>
          <t>ASSERT</t>
        </is>
      </c>
      <c r="E69" s="50" t="inlineStr">
        <is>
          <t>Excess Deduction</t>
        </is>
      </c>
      <c r="F69" s="52" t="inlineStr">
        <is>
          <t>₹1,128</t>
        </is>
      </c>
      <c r="G69" s="57" t="inlineStr">
        <is>
          <t>0.2 × ₹5,640 (18K rate)</t>
        </is>
      </c>
      <c r="H69" s="50" t="inlineStr"/>
      <c r="I69" s="53" t="inlineStr"/>
      <c r="J69" s="50" t="inlineStr"/>
    </row>
    <row r="70" ht="18" customHeight="1">
      <c r="A70" s="47" t="n">
        <v>66</v>
      </c>
      <c r="B70" s="50" t="inlineStr">
        <is>
          <t>Karigar Settlement</t>
        </is>
      </c>
      <c r="C70" s="50" t="inlineStr">
        <is>
          <t>/gold-erp/karigar-settlement</t>
        </is>
      </c>
      <c r="D70" s="51" t="inlineStr">
        <is>
          <t>ASSERT</t>
        </is>
      </c>
      <c r="E70" s="50" t="inlineStr">
        <is>
          <t>Making Charges</t>
        </is>
      </c>
      <c r="F70" s="52" t="inlineStr">
        <is>
          <t>₹1,820</t>
        </is>
      </c>
      <c r="G70" s="57" t="inlineStr">
        <is>
          <t>4.55gm × ₹400/gm</t>
        </is>
      </c>
      <c r="H70" s="50" t="inlineStr"/>
      <c r="I70" s="53" t="inlineStr"/>
      <c r="J70" s="50" t="inlineStr"/>
    </row>
    <row r="71" ht="18" customHeight="1">
      <c r="A71" s="47" t="n">
        <v>67</v>
      </c>
      <c r="B71" s="50" t="inlineStr">
        <is>
          <t>Karigar Settlement</t>
        </is>
      </c>
      <c r="C71" s="50" t="inlineStr">
        <is>
          <t>/gold-erp/karigar-settlement</t>
        </is>
      </c>
      <c r="D71" s="51" t="inlineStr">
        <is>
          <t>ASSERT</t>
        </is>
      </c>
      <c r="E71" s="50" t="inlineStr">
        <is>
          <t>Net Payable</t>
        </is>
      </c>
      <c r="F71" s="52" t="inlineStr">
        <is>
          <t>₹692</t>
        </is>
      </c>
      <c r="G71" s="57" t="inlineStr">
        <is>
          <t>₹1,820 − ₹1,128 excess deduction</t>
        </is>
      </c>
      <c r="H71" s="50" t="inlineStr"/>
      <c r="I71" s="53" t="inlineStr"/>
      <c r="J71" s="50" t="inlineStr"/>
    </row>
    <row r="72" ht="18" customHeight="1">
      <c r="A72" s="47" t="n">
        <v>68</v>
      </c>
      <c r="B72" s="50" t="inlineStr">
        <is>
          <t>Karigar Settlement</t>
        </is>
      </c>
      <c r="C72" s="50" t="inlineStr">
        <is>
          <t>/gold-erp/karigar-settlement</t>
        </is>
      </c>
      <c r="D72" s="55" t="inlineStr">
        <is>
          <t>CLICK</t>
        </is>
      </c>
      <c r="E72" s="50" t="inlineStr">
        <is>
          <t>Settle</t>
        </is>
      </c>
      <c r="F72" s="52" t="inlineStr"/>
      <c r="G72" s="52" t="inlineStr">
        <is>
          <t>Settlement saved. Karigar balance: 0.0gm</t>
        </is>
      </c>
      <c r="H72" s="50" t="inlineStr"/>
      <c r="I72" s="53" t="inlineStr"/>
      <c r="J72" s="5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68" t="inlineStr">
        <is>
          <t>Individual Screen Tests — 8 Screens Not Covered by Flows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69" t="inlineStr">
        <is>
          <t>Promotions · Credit Limit · Line-wise Inventory · Karigar Attendance · Vault Audit · E-Commerce · MIS Analytics · Metal P&amp;L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20" customHeight="1">
      <c r="A3" s="49" t="inlineStr">
        <is>
          <t>#</t>
        </is>
      </c>
      <c r="B3" s="49" t="inlineStr">
        <is>
          <t>Screen</t>
        </is>
      </c>
      <c r="C3" s="49" t="inlineStr">
        <is>
          <t>URL / Path</t>
        </is>
      </c>
      <c r="D3" s="49" t="inlineStr">
        <is>
          <t>Action</t>
        </is>
      </c>
      <c r="E3" s="49" t="inlineStr">
        <is>
          <t>Field / Element</t>
        </is>
      </c>
      <c r="F3" s="49" t="inlineStr">
        <is>
          <t>Mock Data / Input</t>
        </is>
      </c>
      <c r="G3" s="49" t="inlineStr">
        <is>
          <t>Expected Result</t>
        </is>
      </c>
      <c r="H3" s="49" t="inlineStr">
        <is>
          <t>Actual Result</t>
        </is>
      </c>
      <c r="I3" s="49" t="inlineStr">
        <is>
          <t>Pass/Fail</t>
        </is>
      </c>
      <c r="J3" s="49" t="inlineStr">
        <is>
          <t>Notes</t>
        </is>
      </c>
    </row>
    <row r="4" ht="16" customHeight="1">
      <c r="A4" s="70" t="inlineStr">
        <is>
          <t xml:space="preserve">  ▸  SCREEN 1: PROMOTIONS &amp; REWARDS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18" customHeight="1">
      <c r="A5" s="47" t="n">
        <v>2</v>
      </c>
      <c r="B5" s="50" t="inlineStr">
        <is>
          <t>Promotions</t>
        </is>
      </c>
      <c r="C5" s="50" t="inlineStr">
        <is>
          <t>/gold-erp/promotions</t>
        </is>
      </c>
      <c r="D5" s="55" t="inlineStr">
        <is>
          <t>CLICK</t>
        </is>
      </c>
      <c r="E5" s="50" t="inlineStr">
        <is>
          <t>+ Create Promotion</t>
        </is>
      </c>
      <c r="F5" s="52" t="inlineStr"/>
      <c r="G5" s="52" t="inlineStr">
        <is>
          <t>Promotion form opens</t>
        </is>
      </c>
      <c r="H5" s="50" t="inlineStr"/>
      <c r="I5" s="53" t="inlineStr"/>
      <c r="J5" s="50" t="inlineStr"/>
    </row>
    <row r="6" ht="18" customHeight="1">
      <c r="A6" s="47" t="n">
        <v>3</v>
      </c>
      <c r="B6" s="50" t="inlineStr">
        <is>
          <t>Promotions</t>
        </is>
      </c>
      <c r="C6" s="50" t="inlineStr">
        <is>
          <t>/gold-erp/promotions</t>
        </is>
      </c>
      <c r="D6" s="56" t="inlineStr">
        <is>
          <t>ENTER</t>
        </is>
      </c>
      <c r="E6" s="50" t="inlineStr">
        <is>
          <t>Name</t>
        </is>
      </c>
      <c r="F6" s="52" t="inlineStr">
        <is>
          <t>Festival Offer — 0% Making Charges</t>
        </is>
      </c>
      <c r="G6" s="52" t="inlineStr"/>
      <c r="H6" s="50" t="inlineStr"/>
      <c r="I6" s="53" t="inlineStr"/>
      <c r="J6" s="50" t="inlineStr"/>
    </row>
    <row r="7" ht="18" customHeight="1">
      <c r="A7" s="47" t="n">
        <v>4</v>
      </c>
      <c r="B7" s="50" t="inlineStr">
        <is>
          <t>Promotions</t>
        </is>
      </c>
      <c r="C7" s="50" t="inlineStr">
        <is>
          <t>/gold-erp/promotions</t>
        </is>
      </c>
      <c r="D7" s="56" t="inlineStr">
        <is>
          <t>ENTER</t>
        </is>
      </c>
      <c r="E7" s="50" t="inlineStr">
        <is>
          <t>Type</t>
        </is>
      </c>
      <c r="F7" s="52" t="inlineStr">
        <is>
          <t>Making charge waiver</t>
        </is>
      </c>
      <c r="G7" s="52" t="inlineStr">
        <is>
          <t>Dropdown</t>
        </is>
      </c>
      <c r="H7" s="50" t="inlineStr"/>
      <c r="I7" s="53" t="inlineStr"/>
      <c r="J7" s="50" t="inlineStr"/>
    </row>
    <row r="8" ht="18" customHeight="1">
      <c r="A8" s="47" t="n">
        <v>5</v>
      </c>
      <c r="B8" s="50" t="inlineStr">
        <is>
          <t>Promotions</t>
        </is>
      </c>
      <c r="C8" s="50" t="inlineStr">
        <is>
          <t>/gold-erp/promotions</t>
        </is>
      </c>
      <c r="D8" s="56" t="inlineStr">
        <is>
          <t>ENTER</t>
        </is>
      </c>
      <c r="E8" s="50" t="inlineStr">
        <is>
          <t>Discount Value</t>
        </is>
      </c>
      <c r="F8" s="52" t="inlineStr">
        <is>
          <t>100% of making charges</t>
        </is>
      </c>
      <c r="G8" s="52" t="inlineStr"/>
      <c r="H8" s="50" t="inlineStr"/>
      <c r="I8" s="53" t="inlineStr"/>
      <c r="J8" s="50" t="inlineStr"/>
    </row>
    <row r="9" ht="18" customHeight="1">
      <c r="A9" s="47" t="n">
        <v>6</v>
      </c>
      <c r="B9" s="50" t="inlineStr">
        <is>
          <t>Promotions</t>
        </is>
      </c>
      <c r="C9" s="50" t="inlineStr">
        <is>
          <t>/gold-erp/promotions</t>
        </is>
      </c>
      <c r="D9" s="56" t="inlineStr">
        <is>
          <t>ENTER</t>
        </is>
      </c>
      <c r="E9" s="50" t="inlineStr">
        <is>
          <t>Minimum Purchase</t>
        </is>
      </c>
      <c r="F9" s="52" t="inlineStr">
        <is>
          <t>₹50,000</t>
        </is>
      </c>
      <c r="G9" s="52" t="inlineStr">
        <is>
          <t>Trigger threshold</t>
        </is>
      </c>
      <c r="H9" s="50" t="inlineStr"/>
      <c r="I9" s="53" t="inlineStr"/>
      <c r="J9" s="50" t="inlineStr"/>
    </row>
    <row r="10" ht="18" customHeight="1">
      <c r="A10" s="47" t="n">
        <v>7</v>
      </c>
      <c r="B10" s="50" t="inlineStr">
        <is>
          <t>Promotions</t>
        </is>
      </c>
      <c r="C10" s="50" t="inlineStr">
        <is>
          <t>/gold-erp/promotions</t>
        </is>
      </c>
      <c r="D10" s="56" t="inlineStr">
        <is>
          <t>ENTER</t>
        </is>
      </c>
      <c r="E10" s="50" t="inlineStr">
        <is>
          <t>Valid From–To</t>
        </is>
      </c>
      <c r="F10" s="52" t="inlineStr">
        <is>
          <t>Today to Today+7</t>
        </is>
      </c>
      <c r="G10" s="52" t="inlineStr">
        <is>
          <t>Diwali week</t>
        </is>
      </c>
      <c r="H10" s="50" t="inlineStr"/>
      <c r="I10" s="53" t="inlineStr"/>
      <c r="J10" s="50" t="inlineStr"/>
    </row>
    <row r="11" ht="18" customHeight="1">
      <c r="A11" s="47" t="n">
        <v>8</v>
      </c>
      <c r="B11" s="50" t="inlineStr">
        <is>
          <t>Promotions</t>
        </is>
      </c>
      <c r="C11" s="50" t="inlineStr">
        <is>
          <t>/gold-erp/promotions</t>
        </is>
      </c>
      <c r="D11" s="55" t="inlineStr">
        <is>
          <t>CLICK</t>
        </is>
      </c>
      <c r="E11" s="50" t="inlineStr">
        <is>
          <t>Save</t>
        </is>
      </c>
      <c r="F11" s="52" t="inlineStr"/>
      <c r="G11" s="52" t="inlineStr">
        <is>
          <t>Promotion active</t>
        </is>
      </c>
      <c r="H11" s="50" t="inlineStr"/>
      <c r="I11" s="53" t="inlineStr"/>
      <c r="J11" s="50" t="inlineStr"/>
    </row>
    <row r="12" ht="18" customHeight="1">
      <c r="A12" s="47" t="n">
        <v>9</v>
      </c>
      <c r="B12" s="50" t="inlineStr">
        <is>
          <t>Jewellery POS (Full)</t>
        </is>
      </c>
      <c r="C12" s="50" t="inlineStr">
        <is>
          <t>/gold-erp/pos</t>
        </is>
      </c>
      <c r="D12" s="56" t="inlineStr">
        <is>
          <t>ENTER</t>
        </is>
      </c>
      <c r="E12" s="50" t="inlineStr">
        <is>
          <t>Bill: Item DT-0055 (₹62,000 purchase)</t>
        </is>
      </c>
      <c r="F12" s="52" t="inlineStr">
        <is>
          <t>DT-0055 scan</t>
        </is>
      </c>
      <c r="G12" s="52" t="inlineStr">
        <is>
          <t>Purchase &gt; ₹50,000</t>
        </is>
      </c>
      <c r="H12" s="50" t="inlineStr"/>
      <c r="I12" s="53" t="inlineStr"/>
      <c r="J12" s="50" t="inlineStr"/>
    </row>
    <row r="13" ht="18" customHeight="1">
      <c r="A13" s="47" t="n">
        <v>10</v>
      </c>
      <c r="B13" s="50" t="inlineStr">
        <is>
          <t>Jewellery POS (Full)</t>
        </is>
      </c>
      <c r="C13" s="50" t="inlineStr">
        <is>
          <t>/gold-erp/pos</t>
        </is>
      </c>
      <c r="D13" s="51" t="inlineStr">
        <is>
          <t>ASSERT</t>
        </is>
      </c>
      <c r="E13" s="50" t="inlineStr">
        <is>
          <t>Making charges</t>
        </is>
      </c>
      <c r="F13" s="52" t="inlineStr">
        <is>
          <t>₹0</t>
        </is>
      </c>
      <c r="G13" s="57" t="inlineStr">
        <is>
          <t>Waived by promotion</t>
        </is>
      </c>
      <c r="H13" s="50" t="inlineStr"/>
      <c r="I13" s="53" t="inlineStr"/>
      <c r="J13" s="50" t="inlineStr"/>
    </row>
    <row r="14" ht="18" customHeight="1">
      <c r="A14" s="47" t="n">
        <v>11</v>
      </c>
      <c r="B14" s="50" t="inlineStr">
        <is>
          <t>Jewellery POS (Full)</t>
        </is>
      </c>
      <c r="C14" s="50" t="inlineStr">
        <is>
          <t>/gold-erp/pos</t>
        </is>
      </c>
      <c r="D14" s="51" t="inlineStr">
        <is>
          <t>ASSERT</t>
        </is>
      </c>
      <c r="E14" s="50" t="inlineStr">
        <is>
          <t>Promotion applied</t>
        </is>
      </c>
      <c r="F14" s="52" t="inlineStr">
        <is>
          <t>Festival Offer applied — ₹X saving</t>
        </is>
      </c>
      <c r="G14" s="57" t="inlineStr">
        <is>
          <t>Shown on bill</t>
        </is>
      </c>
      <c r="H14" s="50" t="inlineStr"/>
      <c r="I14" s="53" t="inlineStr"/>
      <c r="J14" s="50" t="inlineStr"/>
    </row>
    <row r="15" ht="18" customHeight="1">
      <c r="A15" s="47" t="n">
        <v>12</v>
      </c>
      <c r="B15" s="50" t="inlineStr">
        <is>
          <t>Promotions</t>
        </is>
      </c>
      <c r="C15" s="50" t="inlineStr">
        <is>
          <t>/gold-erp/promotions</t>
        </is>
      </c>
      <c r="D15" s="59" t="inlineStr">
        <is>
          <t>NEGATIVE</t>
        </is>
      </c>
      <c r="E15" s="50" t="inlineStr">
        <is>
          <t>Bill below threshold: DT-0044 (₹23,688)</t>
        </is>
      </c>
      <c r="F15" s="52" t="inlineStr">
        <is>
          <t>DT-0044</t>
        </is>
      </c>
      <c r="G15" s="52" t="inlineStr">
        <is>
          <t>&lt; ₹50,000 min</t>
        </is>
      </c>
      <c r="H15" s="50" t="inlineStr"/>
      <c r="I15" s="53" t="inlineStr"/>
      <c r="J15" s="50" t="inlineStr"/>
    </row>
    <row r="16" ht="18" customHeight="1">
      <c r="A16" s="47" t="n">
        <v>13</v>
      </c>
      <c r="B16" s="50" t="inlineStr">
        <is>
          <t>Promotions</t>
        </is>
      </c>
      <c r="C16" s="50" t="inlineStr">
        <is>
          <t>/gold-erp/promotions</t>
        </is>
      </c>
      <c r="D16" s="51" t="inlineStr">
        <is>
          <t>ASSERT</t>
        </is>
      </c>
      <c r="E16" s="50" t="inlineStr">
        <is>
          <t>Making charges NOT waived</t>
        </is>
      </c>
      <c r="F16" s="52" t="inlineStr">
        <is>
          <t>Normal making charges applied</t>
        </is>
      </c>
      <c r="G16" s="57" t="inlineStr">
        <is>
          <t>Threshold not met</t>
        </is>
      </c>
      <c r="H16" s="50" t="inlineStr"/>
      <c r="I16" s="53" t="inlineStr"/>
      <c r="J16" s="50" t="inlineStr"/>
    </row>
    <row r="17" ht="16" customHeight="1">
      <c r="A17" s="70" t="inlineStr">
        <is>
          <t xml:space="preserve">  ▸  SCREEN 2: CREDIT &amp; DEBIT MANAGEMENT</t>
        </is>
      </c>
      <c r="B17" s="60" t="n"/>
      <c r="C17" s="60" t="n"/>
      <c r="D17" s="60" t="n"/>
      <c r="E17" s="60" t="n"/>
      <c r="F17" s="60" t="n"/>
      <c r="G17" s="60" t="n"/>
      <c r="H17" s="60" t="n"/>
      <c r="I17" s="60" t="n"/>
      <c r="J17" s="61" t="n"/>
    </row>
    <row r="18" ht="18" customHeight="1">
      <c r="A18" s="47" t="n">
        <v>15</v>
      </c>
      <c r="B18" s="50" t="inlineStr">
        <is>
          <t>Wholesale B2B Order Booking</t>
        </is>
      </c>
      <c r="C18" s="50" t="inlineStr">
        <is>
          <t>/gold-erp/wholesale-orders</t>
        </is>
      </c>
      <c r="D18" s="51" t="inlineStr">
        <is>
          <t>SETUP</t>
        </is>
      </c>
      <c r="E18" s="50" t="inlineStr">
        <is>
          <t>Priya Jewellers credit limit</t>
        </is>
      </c>
      <c r="F18" s="52" t="inlineStr">
        <is>
          <t>₹5,00,000</t>
        </is>
      </c>
      <c r="G18" s="52" t="inlineStr">
        <is>
          <t>Already set in master data</t>
        </is>
      </c>
      <c r="H18" s="50" t="inlineStr"/>
      <c r="I18" s="53" t="inlineStr"/>
      <c r="J18" s="50" t="inlineStr"/>
    </row>
    <row r="19" ht="18" customHeight="1">
      <c r="A19" s="47" t="n">
        <v>16</v>
      </c>
      <c r="B19" s="50" t="inlineStr">
        <is>
          <t>Wholesale B2B Order Booking</t>
        </is>
      </c>
      <c r="C19" s="50" t="inlineStr">
        <is>
          <t>/gold-erp/wholesale-orders</t>
        </is>
      </c>
      <c r="D19" s="55" t="inlineStr">
        <is>
          <t>CLICK</t>
        </is>
      </c>
      <c r="E19" s="50" t="inlineStr">
        <is>
          <t>+ New Order (Order A)</t>
        </is>
      </c>
      <c r="F19" s="52" t="inlineStr"/>
      <c r="G19" s="52" t="inlineStr"/>
      <c r="H19" s="50" t="inlineStr"/>
      <c r="I19" s="53" t="inlineStr"/>
      <c r="J19" s="50" t="inlineStr"/>
    </row>
    <row r="20" ht="18" customHeight="1">
      <c r="A20" s="47" t="n">
        <v>17</v>
      </c>
      <c r="B20" s="50" t="inlineStr">
        <is>
          <t>Wholesale B2B Order Booking</t>
        </is>
      </c>
      <c r="C20" s="50" t="inlineStr">
        <is>
          <t>/gold-erp/wholesale-orders</t>
        </is>
      </c>
      <c r="D20" s="56" t="inlineStr">
        <is>
          <t>ENTER</t>
        </is>
      </c>
      <c r="E20" s="50" t="inlineStr">
        <is>
          <t>Customer</t>
        </is>
      </c>
      <c r="F20" s="52" t="inlineStr">
        <is>
          <t>Priya Jewellers</t>
        </is>
      </c>
      <c r="G20" s="52" t="inlineStr"/>
      <c r="H20" s="50" t="inlineStr"/>
      <c r="I20" s="53" t="inlineStr"/>
      <c r="J20" s="50" t="inlineStr"/>
    </row>
    <row r="21" ht="18" customHeight="1">
      <c r="A21" s="47" t="n">
        <v>18</v>
      </c>
      <c r="B21" s="50" t="inlineStr">
        <is>
          <t>Wholesale B2B Order Booking</t>
        </is>
      </c>
      <c r="C21" s="50" t="inlineStr">
        <is>
          <t>/gold-erp/wholesale-orders</t>
        </is>
      </c>
      <c r="D21" s="56" t="inlineStr">
        <is>
          <t>ENTER</t>
        </is>
      </c>
      <c r="E21" s="50" t="inlineStr">
        <is>
          <t>Order Value</t>
        </is>
      </c>
      <c r="F21" s="52" t="inlineStr">
        <is>
          <t>₹4,90,000</t>
        </is>
      </c>
      <c r="G21" s="52" t="inlineStr">
        <is>
          <t>Just within limit</t>
        </is>
      </c>
      <c r="H21" s="50" t="inlineStr"/>
      <c r="I21" s="53" t="inlineStr"/>
      <c r="J21" s="50" t="inlineStr"/>
    </row>
    <row r="22" ht="18" customHeight="1">
      <c r="A22" s="47" t="n">
        <v>19</v>
      </c>
      <c r="B22" s="50" t="inlineStr">
        <is>
          <t>Wholesale B2B Order Booking</t>
        </is>
      </c>
      <c r="C22" s="50" t="inlineStr">
        <is>
          <t>/gold-erp/wholesale-orders</t>
        </is>
      </c>
      <c r="D22" s="51" t="inlineStr">
        <is>
          <t>ASSERT</t>
        </is>
      </c>
      <c r="E22" s="50" t="inlineStr">
        <is>
          <t>Order created</t>
        </is>
      </c>
      <c r="F22" s="52" t="inlineStr">
        <is>
          <t>Order A — ₹4,90,000 approved</t>
        </is>
      </c>
      <c r="G22" s="57" t="inlineStr">
        <is>
          <t>Within credit limit</t>
        </is>
      </c>
      <c r="H22" s="50" t="inlineStr"/>
      <c r="I22" s="53" t="inlineStr"/>
      <c r="J22" s="50" t="inlineStr"/>
    </row>
    <row r="23" ht="18" customHeight="1">
      <c r="A23" s="47" t="n">
        <v>20</v>
      </c>
      <c r="B23" s="50" t="inlineStr">
        <is>
          <t>Wholesale B2B Order Booking</t>
        </is>
      </c>
      <c r="C23" s="50" t="inlineStr">
        <is>
          <t>/gold-erp/wholesale-orders</t>
        </is>
      </c>
      <c r="D23" s="55" t="inlineStr">
        <is>
          <t>CLICK</t>
        </is>
      </c>
      <c r="E23" s="50" t="inlineStr">
        <is>
          <t>+ New Order (Order B)</t>
        </is>
      </c>
      <c r="F23" s="52" t="inlineStr"/>
      <c r="G23" s="52" t="inlineStr">
        <is>
          <t>₹20,000 — would exceed limit</t>
        </is>
      </c>
      <c r="H23" s="50" t="inlineStr"/>
      <c r="I23" s="53" t="inlineStr"/>
      <c r="J23" s="50" t="inlineStr"/>
    </row>
    <row r="24" ht="18" customHeight="1">
      <c r="A24" s="47" t="n">
        <v>21</v>
      </c>
      <c r="B24" s="50" t="inlineStr">
        <is>
          <t>Wholesale B2B Order Booking</t>
        </is>
      </c>
      <c r="C24" s="50" t="inlineStr">
        <is>
          <t>/gold-erp/wholesale-orders</t>
        </is>
      </c>
      <c r="D24" s="56" t="inlineStr">
        <is>
          <t>ENTER</t>
        </is>
      </c>
      <c r="E24" s="50" t="inlineStr">
        <is>
          <t>Order Value</t>
        </is>
      </c>
      <c r="F24" s="52" t="inlineStr">
        <is>
          <t>₹20,000</t>
        </is>
      </c>
      <c r="G24" s="52" t="inlineStr">
        <is>
          <t>₹4,90,000 + ₹20,000 = ₹5,10,000 &gt; ₹5,00,000 limit</t>
        </is>
      </c>
      <c r="H24" s="50" t="inlineStr"/>
      <c r="I24" s="53" t="inlineStr"/>
      <c r="J24" s="50" t="inlineStr"/>
    </row>
    <row r="25" ht="46" customHeight="1">
      <c r="A25" s="47" t="n">
        <v>22</v>
      </c>
      <c r="B25" s="50" t="inlineStr">
        <is>
          <t>Wholesale B2B Order Booking</t>
        </is>
      </c>
      <c r="C25" s="50" t="inlineStr">
        <is>
          <t>/gold-erp/wholesale-orders</t>
        </is>
      </c>
      <c r="D25" s="51" t="inlineStr">
        <is>
          <t>ASSERT</t>
        </is>
      </c>
      <c r="E25" s="50" t="inlineStr">
        <is>
          <t>⚠ Credit limit exceeded</t>
        </is>
      </c>
      <c r="F25" s="52" t="inlineStr">
        <is>
          <t>ERROR: Credit limit of ₹5,00,000 exceeded. Outstanding: ₹4,90,000. Available: ₹10,000.</t>
        </is>
      </c>
      <c r="G25" s="57" t="inlineStr">
        <is>
          <t>Must block order creation</t>
        </is>
      </c>
      <c r="H25" s="50" t="inlineStr"/>
      <c r="I25" s="53" t="inlineStr"/>
      <c r="J25" s="50" t="inlineStr"/>
    </row>
    <row r="26" ht="16" customHeight="1">
      <c r="A26" s="70" t="inlineStr">
        <is>
          <t xml:space="preserve">  ▸  SCREEN 3: LINE-WISE SALES &amp; INVENTORY</t>
        </is>
      </c>
      <c r="B26" s="60" t="n"/>
      <c r="C26" s="60" t="n"/>
      <c r="D26" s="60" t="n"/>
      <c r="E26" s="60" t="n"/>
      <c r="F26" s="60" t="n"/>
      <c r="G26" s="60" t="n"/>
      <c r="H26" s="60" t="n"/>
      <c r="I26" s="60" t="n"/>
      <c r="J26" s="61" t="n"/>
    </row>
    <row r="27" ht="18" customHeight="1">
      <c r="A27" s="47" t="n">
        <v>24</v>
      </c>
      <c r="B27" s="50" t="inlineStr">
        <is>
          <t>Wholesale B2B Order Booking</t>
        </is>
      </c>
      <c r="C27" s="50" t="inlineStr">
        <is>
          <t>/gold-erp/line-inventory</t>
        </is>
      </c>
      <c r="D27" s="54" t="inlineStr">
        <is>
          <t>NAVIGATE</t>
        </is>
      </c>
      <c r="E27" s="50" t="inlineStr"/>
      <c r="F27" s="52" t="inlineStr"/>
      <c r="G27" s="52" t="inlineStr">
        <is>
          <t>Line-wise inventory report</t>
        </is>
      </c>
      <c r="H27" s="50" t="inlineStr"/>
      <c r="I27" s="53" t="inlineStr"/>
      <c r="J27" s="50" t="inlineStr"/>
    </row>
    <row r="28" ht="18" customHeight="1">
      <c r="A28" s="47" t="n">
        <v>25</v>
      </c>
      <c r="B28" s="50" t="inlineStr">
        <is>
          <t>Wholesale B2B Order Booking</t>
        </is>
      </c>
      <c r="C28" s="50" t="inlineStr">
        <is>
          <t>/gold-erp/line-inventory</t>
        </is>
      </c>
      <c r="D28" s="51" t="inlineStr">
        <is>
          <t>ASSERT</t>
        </is>
      </c>
      <c r="E28" s="50" t="inlineStr">
        <is>
          <t>22K Plain Gold line</t>
        </is>
      </c>
      <c r="F28" s="52" t="inlineStr">
        <is>
          <t>X pieces | Y gm</t>
        </is>
      </c>
      <c r="G28" s="57" t="inlineStr">
        <is>
          <t>Matches individual items in 22K plain gold category</t>
        </is>
      </c>
      <c r="H28" s="50" t="inlineStr"/>
      <c r="I28" s="53" t="inlineStr"/>
      <c r="J28" s="50" t="inlineStr"/>
    </row>
    <row r="29" ht="18" customHeight="1">
      <c r="A29" s="47" t="n">
        <v>26</v>
      </c>
      <c r="B29" s="50" t="inlineStr">
        <is>
          <t>Wholesale B2B Order Booking</t>
        </is>
      </c>
      <c r="C29" s="50" t="inlineStr">
        <is>
          <t>/gold-erp/line-inventory</t>
        </is>
      </c>
      <c r="D29" s="51" t="inlineStr">
        <is>
          <t>ASSERT</t>
        </is>
      </c>
      <c r="E29" s="50" t="inlineStr">
        <is>
          <t>18K Diamond line</t>
        </is>
      </c>
      <c r="F29" s="52" t="inlineStr">
        <is>
          <t>X pieces | Y gm</t>
        </is>
      </c>
      <c r="G29" s="57" t="inlineStr">
        <is>
          <t>Matches 18K items</t>
        </is>
      </c>
      <c r="H29" s="50" t="inlineStr"/>
      <c r="I29" s="53" t="inlineStr"/>
      <c r="J29" s="50" t="inlineStr"/>
    </row>
    <row r="30" ht="18" customHeight="1">
      <c r="A30" s="47" t="n">
        <v>27</v>
      </c>
      <c r="B30" s="50" t="inlineStr">
        <is>
          <t>Wholesale B2B Order Booking</t>
        </is>
      </c>
      <c r="C30" s="50" t="inlineStr">
        <is>
          <t>/gold-erp/line-inventory</t>
        </is>
      </c>
      <c r="D30" s="51" t="inlineStr">
        <is>
          <t>ASSERT</t>
        </is>
      </c>
      <c r="E30" s="50" t="inlineStr">
        <is>
          <t>Total weight all lines</t>
        </is>
      </c>
      <c r="F30" s="52">
        <f> Metal ledger balance (finished goods)</f>
        <v/>
      </c>
      <c r="G30" s="57" t="inlineStr">
        <is>
          <t>Cross-verify with metal ledger</t>
        </is>
      </c>
      <c r="H30" s="50" t="inlineStr"/>
      <c r="I30" s="53" t="inlineStr"/>
      <c r="J30" s="50" t="inlineStr"/>
    </row>
    <row r="31" ht="18" customHeight="1">
      <c r="A31" s="47" t="n">
        <v>28</v>
      </c>
      <c r="B31" s="50" t="inlineStr">
        <is>
          <t>Wholesale B2B Order Booking</t>
        </is>
      </c>
      <c r="C31" s="50" t="inlineStr">
        <is>
          <t>/gold-erp/line-inventory</t>
        </is>
      </c>
      <c r="D31" s="51" t="inlineStr">
        <is>
          <t>ASSERT</t>
        </is>
      </c>
      <c r="E31" s="50" t="inlineStr">
        <is>
          <t>Slow movers flag</t>
        </is>
      </c>
      <c r="F31" s="52" t="inlineStr">
        <is>
          <t>Items &gt;60 days unsold highlighted</t>
        </is>
      </c>
      <c r="G31" s="57" t="inlineStr">
        <is>
          <t>DT-0043 if not sold yet</t>
        </is>
      </c>
      <c r="H31" s="50" t="inlineStr"/>
      <c r="I31" s="53" t="inlineStr"/>
      <c r="J31" s="50" t="inlineStr"/>
    </row>
    <row r="32" ht="18" customHeight="1">
      <c r="A32" s="47" t="n">
        <v>29</v>
      </c>
      <c r="B32" s="50" t="inlineStr">
        <is>
          <t>Wholesale B2B Order Booking</t>
        </is>
      </c>
      <c r="C32" s="50" t="inlineStr">
        <is>
          <t>/gold-erp/line-inventory</t>
        </is>
      </c>
      <c r="D32" s="51" t="inlineStr">
        <is>
          <t>ASSERT</t>
        </is>
      </c>
      <c r="E32" s="50" t="inlineStr">
        <is>
          <t>Fast movers</t>
        </is>
      </c>
      <c r="F32" s="52" t="inlineStr">
        <is>
          <t>Top 5 designs by sales this month</t>
        </is>
      </c>
      <c r="G32" s="57" t="inlineStr">
        <is>
          <t>Based on POS + wholesale orders</t>
        </is>
      </c>
      <c r="H32" s="50" t="inlineStr"/>
      <c r="I32" s="53" t="inlineStr"/>
      <c r="J32" s="50" t="inlineStr"/>
    </row>
    <row r="33" ht="16" customHeight="1">
      <c r="A33" s="70" t="inlineStr">
        <is>
          <t xml:space="preserve">  ▸  SCREEN 4: KARIGAR ATTENDANCE</t>
        </is>
      </c>
      <c r="B33" s="60" t="n"/>
      <c r="C33" s="60" t="n"/>
      <c r="D33" s="60" t="n"/>
      <c r="E33" s="60" t="n"/>
      <c r="F33" s="60" t="n"/>
      <c r="G33" s="60" t="n"/>
      <c r="H33" s="60" t="n"/>
      <c r="I33" s="60" t="n"/>
      <c r="J33" s="61" t="n"/>
    </row>
    <row r="34" ht="18" customHeight="1">
      <c r="A34" s="47" t="n">
        <v>31</v>
      </c>
      <c r="B34" s="50" t="inlineStr">
        <is>
          <t>Karigar Attendance Register</t>
        </is>
      </c>
      <c r="C34" s="50" t="inlineStr">
        <is>
          <t>/gold-erp/karigar-attendance</t>
        </is>
      </c>
      <c r="D34" s="54" t="inlineStr">
        <is>
          <t>NAVIGATE</t>
        </is>
      </c>
      <c r="E34" s="50" t="inlineStr"/>
      <c r="F34" s="52" t="inlineStr"/>
      <c r="G34" s="52" t="inlineStr">
        <is>
          <t>Karigar attendance screen</t>
        </is>
      </c>
      <c r="H34" s="50" t="inlineStr"/>
      <c r="I34" s="53" t="inlineStr"/>
      <c r="J34" s="50" t="inlineStr"/>
    </row>
    <row r="35" ht="18" customHeight="1">
      <c r="A35" s="47" t="n">
        <v>32</v>
      </c>
      <c r="B35" s="50" t="inlineStr">
        <is>
          <t>Karigar Attendance Register</t>
        </is>
      </c>
      <c r="C35" s="50" t="inlineStr">
        <is>
          <t>/gold-erp/karigar-attendance</t>
        </is>
      </c>
      <c r="D35" s="56" t="inlineStr">
        <is>
          <t>ENTER</t>
        </is>
      </c>
      <c r="E35" s="50" t="inlineStr">
        <is>
          <t>Date</t>
        </is>
      </c>
      <c r="F35" s="52" t="inlineStr">
        <is>
          <t>Today</t>
        </is>
      </c>
      <c r="G35" s="52" t="inlineStr"/>
      <c r="H35" s="50" t="inlineStr"/>
      <c r="I35" s="53" t="inlineStr"/>
      <c r="J35" s="50" t="inlineStr"/>
    </row>
    <row r="36" ht="18" customHeight="1">
      <c r="A36" s="47" t="n">
        <v>33</v>
      </c>
      <c r="B36" s="50" t="inlineStr">
        <is>
          <t>Karigar Attendance Register</t>
        </is>
      </c>
      <c r="C36" s="50" t="inlineStr">
        <is>
          <t>/gold-erp/karigar-attendance</t>
        </is>
      </c>
      <c r="D36" s="56" t="inlineStr">
        <is>
          <t>ENTER</t>
        </is>
      </c>
      <c r="E36" s="50" t="inlineStr">
        <is>
          <t>Raju Goldsmith — Attendance</t>
        </is>
      </c>
      <c r="F36" s="52" t="inlineStr">
        <is>
          <t>Present</t>
        </is>
      </c>
      <c r="G36" s="52" t="inlineStr">
        <is>
          <t>Full day</t>
        </is>
      </c>
      <c r="H36" s="50" t="inlineStr"/>
      <c r="I36" s="53" t="inlineStr"/>
      <c r="J36" s="50" t="inlineStr"/>
    </row>
    <row r="37" ht="18" customHeight="1">
      <c r="A37" s="47" t="n">
        <v>34</v>
      </c>
      <c r="B37" s="50" t="inlineStr">
        <is>
          <t>Karigar Attendance Register</t>
        </is>
      </c>
      <c r="C37" s="50" t="inlineStr">
        <is>
          <t>/gold-erp/karigar-attendance</t>
        </is>
      </c>
      <c r="D37" s="56" t="inlineStr">
        <is>
          <t>ENTER</t>
        </is>
      </c>
      <c r="E37" s="50" t="inlineStr">
        <is>
          <t>Suresh Stone Setter — Attendance</t>
        </is>
      </c>
      <c r="F37" s="52" t="inlineStr">
        <is>
          <t>Half day</t>
        </is>
      </c>
      <c r="G37" s="52" t="inlineStr"/>
      <c r="H37" s="50" t="inlineStr"/>
      <c r="I37" s="53" t="inlineStr"/>
      <c r="J37" s="50" t="inlineStr"/>
    </row>
    <row r="38" ht="18" customHeight="1">
      <c r="A38" s="47" t="n">
        <v>35</v>
      </c>
      <c r="B38" s="50" t="inlineStr">
        <is>
          <t>Karigar Attendance Register</t>
        </is>
      </c>
      <c r="C38" s="50" t="inlineStr">
        <is>
          <t>/gold-erp/karigar-attendance</t>
        </is>
      </c>
      <c r="D38" s="55" t="inlineStr">
        <is>
          <t>CLICK</t>
        </is>
      </c>
      <c r="E38" s="50" t="inlineStr">
        <is>
          <t>Save Attendance</t>
        </is>
      </c>
      <c r="F38" s="52" t="inlineStr"/>
      <c r="G38" s="52" t="inlineStr">
        <is>
          <t>Saved</t>
        </is>
      </c>
      <c r="H38" s="50" t="inlineStr"/>
      <c r="I38" s="53" t="inlineStr"/>
      <c r="J38" s="50" t="inlineStr"/>
    </row>
    <row r="39" ht="18" customHeight="1">
      <c r="A39" s="47" t="n">
        <v>36</v>
      </c>
      <c r="B39" s="50" t="inlineStr">
        <is>
          <t>Karigar Attendance Register</t>
        </is>
      </c>
      <c r="C39" s="50" t="inlineStr">
        <is>
          <t>/gold-erp/karigar-attendance</t>
        </is>
      </c>
      <c r="D39" s="51" t="inlineStr">
        <is>
          <t>ASSERT</t>
        </is>
      </c>
      <c r="E39" s="50" t="inlineStr">
        <is>
          <t>Raju daily wage (auto)</t>
        </is>
      </c>
      <c r="F39" s="52" t="inlineStr">
        <is>
          <t>₹800</t>
        </is>
      </c>
      <c r="G39" s="57" t="inlineStr">
        <is>
          <t>₹800 × 1 full day</t>
        </is>
      </c>
      <c r="H39" s="50" t="inlineStr"/>
      <c r="I39" s="53" t="inlineStr"/>
      <c r="J39" s="50" t="inlineStr"/>
    </row>
    <row r="40" ht="18" customHeight="1">
      <c r="A40" s="47" t="n">
        <v>37</v>
      </c>
      <c r="B40" s="50" t="inlineStr">
        <is>
          <t>Karigar Attendance Register</t>
        </is>
      </c>
      <c r="C40" s="50" t="inlineStr">
        <is>
          <t>/gold-erp/karikar-attendance</t>
        </is>
      </c>
      <c r="D40" s="51" t="inlineStr">
        <is>
          <t>ASSERT</t>
        </is>
      </c>
      <c r="E40" s="50" t="inlineStr">
        <is>
          <t>Suresh daily wage (auto)</t>
        </is>
      </c>
      <c r="F40" s="52" t="inlineStr">
        <is>
          <t>₹400</t>
        </is>
      </c>
      <c r="G40" s="57" t="inlineStr">
        <is>
          <t>₹800 × 0.5 half day</t>
        </is>
      </c>
      <c r="H40" s="50" t="inlineStr"/>
      <c r="I40" s="53" t="inlineStr"/>
      <c r="J40" s="50" t="inlineStr"/>
    </row>
    <row r="41" ht="18" customHeight="1">
      <c r="A41" s="47" t="n">
        <v>38</v>
      </c>
      <c r="B41" s="50" t="inlineStr">
        <is>
          <t>Karigar Attendance Register</t>
        </is>
      </c>
      <c r="C41" s="50" t="inlineStr">
        <is>
          <t>/gold-erp/karigar-attendance</t>
        </is>
      </c>
      <c r="D41" s="56" t="inlineStr">
        <is>
          <t>ENTER</t>
        </is>
      </c>
      <c r="E41" s="50" t="inlineStr">
        <is>
          <t>Yesterday — Raju Attendance</t>
        </is>
      </c>
      <c r="F41" s="52" t="inlineStr">
        <is>
          <t>Absent</t>
        </is>
      </c>
      <c r="G41" s="52" t="inlineStr"/>
      <c r="H41" s="50" t="inlineStr"/>
      <c r="I41" s="53" t="inlineStr"/>
      <c r="J41" s="50" t="inlineStr"/>
    </row>
    <row r="42" ht="18" customHeight="1">
      <c r="A42" s="47" t="n">
        <v>39</v>
      </c>
      <c r="B42" s="50" t="inlineStr">
        <is>
          <t>Karigar Attendance Register</t>
        </is>
      </c>
      <c r="C42" s="50" t="inlineStr">
        <is>
          <t>/gold-erp/karigar-attendance</t>
        </is>
      </c>
      <c r="D42" s="51" t="inlineStr">
        <is>
          <t>ASSERT</t>
        </is>
      </c>
      <c r="E42" s="50" t="inlineStr">
        <is>
          <t>Yesterday wage</t>
        </is>
      </c>
      <c r="F42" s="52" t="inlineStr">
        <is>
          <t>₹0</t>
        </is>
      </c>
      <c r="G42" s="57" t="inlineStr">
        <is>
          <t>Absent = no wage</t>
        </is>
      </c>
      <c r="H42" s="50" t="inlineStr"/>
      <c r="I42" s="53" t="inlineStr"/>
      <c r="J42" s="50" t="inlineStr"/>
    </row>
    <row r="43" ht="18" customHeight="1">
      <c r="A43" s="47" t="n">
        <v>40</v>
      </c>
      <c r="B43" s="50" t="inlineStr">
        <is>
          <t>Karigar Attendance Register</t>
        </is>
      </c>
      <c r="C43" s="50" t="inlineStr">
        <is>
          <t>/gold-erp/karigar-attendance</t>
        </is>
      </c>
      <c r="D43" s="51" t="inlineStr">
        <is>
          <t>ASSERT</t>
        </is>
      </c>
      <c r="E43" s="50" t="inlineStr">
        <is>
          <t>Monthly wage calc</t>
        </is>
      </c>
      <c r="F43" s="52" t="inlineStr">
        <is>
          <t>Days Present × ₹800 = total due</t>
        </is>
      </c>
      <c r="G43" s="57" t="inlineStr">
        <is>
          <t>Running total for payroll</t>
        </is>
      </c>
      <c r="H43" s="50" t="inlineStr"/>
      <c r="I43" s="53" t="inlineStr"/>
      <c r="J43" s="50" t="inlineStr"/>
    </row>
    <row r="44" ht="16" customHeight="1">
      <c r="A44" s="70" t="inlineStr">
        <is>
          <t xml:space="preserve">  ▸  SCREEN 5: VAULT PHYSICAL AUDIT (Bullion)</t>
        </is>
      </c>
      <c r="B44" s="60" t="n"/>
      <c r="C44" s="60" t="n"/>
      <c r="D44" s="60" t="n"/>
      <c r="E44" s="60" t="n"/>
      <c r="F44" s="60" t="n"/>
      <c r="G44" s="60" t="n"/>
      <c r="H44" s="60" t="n"/>
      <c r="I44" s="60" t="n"/>
      <c r="J44" s="61" t="n"/>
    </row>
    <row r="45" ht="18" customHeight="1">
      <c r="A45" s="47" t="n">
        <v>42</v>
      </c>
      <c r="B45" s="50" t="inlineStr">
        <is>
          <t>Bullion Transactions</t>
        </is>
      </c>
      <c r="C45" s="50" t="inlineStr">
        <is>
          <t>/gold-erp/vault-audit</t>
        </is>
      </c>
      <c r="D45" s="54" t="inlineStr">
        <is>
          <t>NAVIGATE</t>
        </is>
      </c>
      <c r="E45" s="50" t="inlineStr"/>
      <c r="F45" s="52" t="inlineStr"/>
      <c r="G45" s="52" t="inlineStr">
        <is>
          <t>Vault audit screen (separate from showcase audit in F6)</t>
        </is>
      </c>
      <c r="H45" s="50" t="inlineStr"/>
      <c r="I45" s="53" t="inlineStr"/>
      <c r="J45" s="50" t="inlineStr"/>
    </row>
    <row r="46" ht="18" customHeight="1">
      <c r="A46" s="47" t="n">
        <v>43</v>
      </c>
      <c r="B46" s="50" t="inlineStr">
        <is>
          <t>Bullion Transactions</t>
        </is>
      </c>
      <c r="C46" s="50" t="inlineStr">
        <is>
          <t>/gold-erp/vault-audit</t>
        </is>
      </c>
      <c r="D46" s="55" t="inlineStr">
        <is>
          <t>CLICK</t>
        </is>
      </c>
      <c r="E46" s="50" t="inlineStr">
        <is>
          <t>+ Start Vault Audit</t>
        </is>
      </c>
      <c r="F46" s="52" t="inlineStr"/>
      <c r="G46" s="52" t="inlineStr"/>
      <c r="H46" s="50" t="inlineStr"/>
      <c r="I46" s="53" t="inlineStr"/>
      <c r="J46" s="50" t="inlineStr"/>
    </row>
    <row r="47" ht="32" customHeight="1">
      <c r="A47" s="47" t="n">
        <v>44</v>
      </c>
      <c r="B47" s="50" t="inlineStr">
        <is>
          <t>Bullion Transactions</t>
        </is>
      </c>
      <c r="C47" s="50" t="inlineStr">
        <is>
          <t>/gold-erp/vault-audit</t>
        </is>
      </c>
      <c r="D47" s="56" t="inlineStr">
        <is>
          <t>ENTER</t>
        </is>
      </c>
      <c r="E47" s="50" t="inlineStr">
        <is>
          <t>Auditors</t>
        </is>
      </c>
      <c r="F47" s="52" t="inlineStr">
        <is>
          <t>Raju Goldsmith + Store Manager (2 required)</t>
        </is>
      </c>
      <c r="G47" s="52" t="inlineStr">
        <is>
          <t>2 witnesses mandatory for vault</t>
        </is>
      </c>
      <c r="H47" s="50" t="inlineStr"/>
      <c r="I47" s="53" t="inlineStr"/>
      <c r="J47" s="50" t="inlineStr"/>
    </row>
    <row r="48" ht="18" customHeight="1">
      <c r="A48" s="47" t="n">
        <v>45</v>
      </c>
      <c r="B48" s="50" t="inlineStr">
        <is>
          <t>Bullion Transactions</t>
        </is>
      </c>
      <c r="C48" s="50" t="inlineStr">
        <is>
          <t>/gold-erp/vault-audit</t>
        </is>
      </c>
      <c r="D48" s="56" t="inlineStr">
        <is>
          <t>ENTER</t>
        </is>
      </c>
      <c r="E48" s="50" t="inlineStr">
        <is>
          <t>Vault Location</t>
        </is>
      </c>
      <c r="F48" s="52" t="inlineStr">
        <is>
          <t>Main Vault — Safe #1</t>
        </is>
      </c>
      <c r="G48" s="52" t="inlineStr"/>
      <c r="H48" s="50" t="inlineStr"/>
      <c r="I48" s="53" t="inlineStr"/>
      <c r="J48" s="50" t="inlineStr"/>
    </row>
    <row r="49" ht="18" customHeight="1">
      <c r="A49" s="47" t="n">
        <v>46</v>
      </c>
      <c r="B49" s="50" t="inlineStr">
        <is>
          <t>Bullion Transactions</t>
        </is>
      </c>
      <c r="C49" s="50" t="inlineStr">
        <is>
          <t>/gold-erp/vault-audit</t>
        </is>
      </c>
      <c r="D49" s="56" t="inlineStr">
        <is>
          <t>ENTER</t>
        </is>
      </c>
      <c r="E49" s="50" t="inlineStr">
        <is>
          <t>Physical count: Gold bar (100gm bar)</t>
        </is>
      </c>
      <c r="F49" s="52" t="inlineStr">
        <is>
          <t>100.0 gm</t>
        </is>
      </c>
      <c r="G49" s="52" t="inlineStr">
        <is>
          <t>Actual weighing</t>
        </is>
      </c>
      <c r="H49" s="50" t="inlineStr"/>
      <c r="I49" s="53" t="inlineStr"/>
      <c r="J49" s="50" t="inlineStr"/>
    </row>
    <row r="50" ht="18" customHeight="1">
      <c r="A50" s="47" t="n">
        <v>47</v>
      </c>
      <c r="B50" s="50" t="inlineStr">
        <is>
          <t>Bullion Transactions</t>
        </is>
      </c>
      <c r="C50" s="50" t="inlineStr">
        <is>
          <t>/gold-erp/vault-audit</t>
        </is>
      </c>
      <c r="D50" s="51" t="inlineStr">
        <is>
          <t>ASSERT</t>
        </is>
      </c>
      <c r="E50" s="50" t="inlineStr">
        <is>
          <t>System says</t>
        </is>
      </c>
      <c r="F50" s="52" t="inlineStr">
        <is>
          <t>100.0 gm</t>
        </is>
      </c>
      <c r="G50" s="57" t="inlineStr">
        <is>
          <t>From bullion inward (Flow 5)</t>
        </is>
      </c>
      <c r="H50" s="50" t="inlineStr"/>
      <c r="I50" s="53" t="inlineStr"/>
      <c r="J50" s="50" t="inlineStr"/>
    </row>
    <row r="51" ht="18" customHeight="1">
      <c r="A51" s="47" t="n">
        <v>48</v>
      </c>
      <c r="B51" s="50" t="inlineStr">
        <is>
          <t>Bullion Transactions</t>
        </is>
      </c>
      <c r="C51" s="50" t="inlineStr">
        <is>
          <t>/gold-erp/vault-audit</t>
        </is>
      </c>
      <c r="D51" s="51" t="inlineStr">
        <is>
          <t>ASSERT</t>
        </is>
      </c>
      <c r="E51" s="50" t="inlineStr">
        <is>
          <t>Vault discrepancy</t>
        </is>
      </c>
      <c r="F51" s="52" t="inlineStr">
        <is>
          <t>0.0 gm — MATCH</t>
        </is>
      </c>
      <c r="G51" s="57" t="inlineStr">
        <is>
          <t>Perfect match</t>
        </is>
      </c>
      <c r="H51" s="50" t="inlineStr"/>
      <c r="I51" s="53" t="inlineStr"/>
      <c r="J51" s="50" t="inlineStr"/>
    </row>
    <row r="52" ht="18" customHeight="1">
      <c r="A52" s="47" t="n">
        <v>49</v>
      </c>
      <c r="B52" s="50" t="inlineStr">
        <is>
          <t>Bullion Transactions</t>
        </is>
      </c>
      <c r="C52" s="50" t="inlineStr">
        <is>
          <t>/gold-erp/vault-audit</t>
        </is>
      </c>
      <c r="D52" s="51" t="inlineStr">
        <is>
          <t>ASSERT</t>
        </is>
      </c>
      <c r="E52" s="50" t="inlineStr">
        <is>
          <t>Seal check</t>
        </is>
      </c>
      <c r="F52" s="52" t="inlineStr">
        <is>
          <t>Seal intact: YES</t>
        </is>
      </c>
      <c r="G52" s="57" t="inlineStr">
        <is>
          <t>Physical vault seal verified</t>
        </is>
      </c>
      <c r="H52" s="50" t="inlineStr"/>
      <c r="I52" s="53" t="inlineStr"/>
      <c r="J52" s="50" t="inlineStr"/>
    </row>
    <row r="53" ht="18" customHeight="1">
      <c r="A53" s="47" t="n">
        <v>50</v>
      </c>
      <c r="B53" s="50" t="inlineStr">
        <is>
          <t>Bullion Transactions</t>
        </is>
      </c>
      <c r="C53" s="50" t="inlineStr">
        <is>
          <t>/gold-erp/vault-audit</t>
        </is>
      </c>
      <c r="D53" s="55" t="inlineStr">
        <is>
          <t>CLICK</t>
        </is>
      </c>
      <c r="E53" s="50" t="inlineStr">
        <is>
          <t>Close Audit with signatures</t>
        </is>
      </c>
      <c r="F53" s="52" t="inlineStr"/>
      <c r="G53" s="52" t="inlineStr">
        <is>
          <t>Audit closed. Certificate generated.</t>
        </is>
      </c>
      <c r="H53" s="50" t="inlineStr"/>
      <c r="I53" s="53" t="inlineStr"/>
      <c r="J53" s="50" t="inlineStr"/>
    </row>
    <row r="54" ht="16" customHeight="1">
      <c r="A54" s="70" t="inlineStr">
        <is>
          <t xml:space="preserve">  ▸  SCREEN 6: E-COMMERCE STORE — LIVE GOLD RATE PRICING</t>
        </is>
      </c>
      <c r="B54" s="60" t="n"/>
      <c r="C54" s="60" t="n"/>
      <c r="D54" s="60" t="n"/>
      <c r="E54" s="60" t="n"/>
      <c r="F54" s="60" t="n"/>
      <c r="G54" s="60" t="n"/>
      <c r="H54" s="60" t="n"/>
      <c r="I54" s="60" t="n"/>
      <c r="J54" s="61" t="n"/>
    </row>
    <row r="55" ht="18" customHeight="1">
      <c r="A55" s="47" t="n">
        <v>52</v>
      </c>
      <c r="B55" s="50" t="inlineStr">
        <is>
          <t>E-Commerce Store</t>
        </is>
      </c>
      <c r="C55" s="50" t="inlineStr">
        <is>
          <t>/gold-erp/ecommerce</t>
        </is>
      </c>
      <c r="D55" s="54" t="inlineStr">
        <is>
          <t>NAVIGATE</t>
        </is>
      </c>
      <c r="E55" s="50" t="inlineStr"/>
      <c r="F55" s="52" t="inlineStr"/>
      <c r="G55" s="52" t="inlineStr">
        <is>
          <t>E-commerce store management screen</t>
        </is>
      </c>
      <c r="H55" s="50" t="inlineStr"/>
      <c r="I55" s="53" t="inlineStr"/>
      <c r="J55" s="50" t="inlineStr"/>
    </row>
    <row r="56" ht="18" customHeight="1">
      <c r="A56" s="47" t="n">
        <v>53</v>
      </c>
      <c r="B56" s="50" t="inlineStr">
        <is>
          <t>E-Commerce Store</t>
        </is>
      </c>
      <c r="C56" s="50" t="inlineStr">
        <is>
          <t>/gold-erp/ecommerce</t>
        </is>
      </c>
      <c r="D56" s="51" t="inlineStr">
        <is>
          <t>ASSERT</t>
        </is>
      </c>
      <c r="E56" s="50" t="inlineStr">
        <is>
          <t>DT-0055 price on store (current)</t>
        </is>
      </c>
      <c r="F56" s="52" t="inlineStr">
        <is>
          <t>Based on ₹6,820 rate</t>
        </is>
      </c>
      <c r="G56" s="57" t="inlineStr">
        <is>
          <t>Auto-calculated from metal rate</t>
        </is>
      </c>
      <c r="H56" s="50" t="inlineStr"/>
      <c r="I56" s="53" t="inlineStr"/>
      <c r="J56" s="50" t="inlineStr"/>
    </row>
    <row r="57" ht="18" customHeight="1">
      <c r="A57" s="47" t="n">
        <v>54</v>
      </c>
      <c r="B57" s="50" t="inlineStr">
        <is>
          <t>Metal Rates</t>
        </is>
      </c>
      <c r="C57" s="50" t="inlineStr">
        <is>
          <t>/gold-erp/metal-rates</t>
        </is>
      </c>
      <c r="D57" s="56" t="inlineStr">
        <is>
          <t>ENTER</t>
        </is>
      </c>
      <c r="E57" s="50" t="inlineStr">
        <is>
          <t>Change 22K rate</t>
        </is>
      </c>
      <c r="F57" s="52" t="inlineStr">
        <is>
          <t>₹7,000</t>
        </is>
      </c>
      <c r="G57" s="52" t="inlineStr">
        <is>
          <t>Simulate gold rate increase</t>
        </is>
      </c>
      <c r="H57" s="50" t="inlineStr"/>
      <c r="I57" s="53" t="inlineStr"/>
      <c r="J57" s="50" t="inlineStr"/>
    </row>
    <row r="58" ht="18" customHeight="1">
      <c r="A58" s="47" t="n">
        <v>55</v>
      </c>
      <c r="B58" s="50" t="inlineStr">
        <is>
          <t>Metal Rates</t>
        </is>
      </c>
      <c r="C58" s="50" t="inlineStr">
        <is>
          <t>/gold-erp/metal-rates</t>
        </is>
      </c>
      <c r="D58" s="55" t="inlineStr">
        <is>
          <t>CLICK</t>
        </is>
      </c>
      <c r="E58" s="50" t="inlineStr">
        <is>
          <t>Save Rate</t>
        </is>
      </c>
      <c r="F58" s="52" t="inlineStr"/>
      <c r="G58" s="52" t="inlineStr">
        <is>
          <t>New rate saved</t>
        </is>
      </c>
      <c r="H58" s="50" t="inlineStr"/>
      <c r="I58" s="53" t="inlineStr"/>
      <c r="J58" s="50" t="inlineStr"/>
    </row>
    <row r="59" ht="18" customHeight="1">
      <c r="A59" s="47" t="n">
        <v>56</v>
      </c>
      <c r="B59" s="50" t="inlineStr">
        <is>
          <t>E-Commerce Store</t>
        </is>
      </c>
      <c r="C59" s="50" t="inlineStr">
        <is>
          <t>/gold-erp/ecommerce</t>
        </is>
      </c>
      <c r="D59" s="51" t="inlineStr">
        <is>
          <t>ASSERT</t>
        </is>
      </c>
      <c r="E59" s="50" t="inlineStr">
        <is>
          <t>DT-0055 price on store (after rate change)</t>
        </is>
      </c>
      <c r="F59" s="52" t="inlineStr">
        <is>
          <t>Recalculated at ₹7,000</t>
        </is>
      </c>
      <c r="G59" s="57" t="inlineStr">
        <is>
          <t>Price must update automatically</t>
        </is>
      </c>
      <c r="H59" s="50" t="inlineStr"/>
      <c r="I59" s="53" t="inlineStr"/>
      <c r="J59" s="50" t="inlineStr"/>
    </row>
    <row r="60" ht="18" customHeight="1">
      <c r="A60" s="47" t="n">
        <v>57</v>
      </c>
      <c r="B60" s="50" t="inlineStr">
        <is>
          <t>E-Commerce Store</t>
        </is>
      </c>
      <c r="C60" s="50" t="inlineStr">
        <is>
          <t>/gold-erp/ecommerce</t>
        </is>
      </c>
      <c r="D60" s="54" t="inlineStr">
        <is>
          <t>NAVIGATE</t>
        </is>
      </c>
      <c r="E60" s="50" t="inlineStr">
        <is>
          <t>Public store URL (customer view)</t>
        </is>
      </c>
      <c r="F60" s="52" t="inlineStr"/>
      <c r="G60" s="52" t="inlineStr"/>
      <c r="H60" s="50" t="inlineStr"/>
      <c r="I60" s="53" t="inlineStr"/>
      <c r="J60" s="50" t="inlineStr"/>
    </row>
    <row r="61" ht="18" customHeight="1">
      <c r="A61" s="47" t="n">
        <v>58</v>
      </c>
      <c r="B61" s="50" t="inlineStr">
        <is>
          <t>E-Commerce Store</t>
        </is>
      </c>
      <c r="C61" s="50" t="inlineStr">
        <is>
          <t>/gold-erp/ecommerce</t>
        </is>
      </c>
      <c r="D61" s="55" t="inlineStr">
        <is>
          <t>CLICK</t>
        </is>
      </c>
      <c r="E61" s="50" t="inlineStr">
        <is>
          <t>Add DT-0055 to cart</t>
        </is>
      </c>
      <c r="F61" s="52" t="inlineStr"/>
      <c r="G61" s="52" t="inlineStr">
        <is>
          <t>Item in cart with ₹7,000 rate price</t>
        </is>
      </c>
      <c r="H61" s="50" t="inlineStr"/>
      <c r="I61" s="53" t="inlineStr"/>
      <c r="J61" s="50" t="inlineStr"/>
    </row>
    <row r="62" ht="32" customHeight="1">
      <c r="A62" s="47" t="n">
        <v>59</v>
      </c>
      <c r="B62" s="50" t="inlineStr">
        <is>
          <t>E-Commerce Store</t>
        </is>
      </c>
      <c r="C62" s="50" t="inlineStr">
        <is>
          <t>/gold-erp/ecommerce</t>
        </is>
      </c>
      <c r="D62" s="51" t="inlineStr">
        <is>
          <t>ASSERT</t>
        </is>
      </c>
      <c r="E62" s="50" t="inlineStr">
        <is>
          <t>Rate lock timer</t>
        </is>
      </c>
      <c r="F62" s="52" t="inlineStr">
        <is>
          <t>'Price valid for 30 minutes — rate: ₹7,000'</t>
        </is>
      </c>
      <c r="G62" s="57" t="inlineStr">
        <is>
          <t>Countdown shown</t>
        </is>
      </c>
      <c r="H62" s="50" t="inlineStr"/>
      <c r="I62" s="53" t="inlineStr"/>
      <c r="J62" s="50" t="inlineStr"/>
    </row>
    <row r="63" ht="18" customHeight="1">
      <c r="A63" s="47" t="n">
        <v>60</v>
      </c>
      <c r="B63" s="50" t="inlineStr">
        <is>
          <t>E-Commerce Store</t>
        </is>
      </c>
      <c r="C63" s="50" t="inlineStr">
        <is>
          <t>/gold-erp/ecommerce</t>
        </is>
      </c>
      <c r="D63" s="58" t="inlineStr">
        <is>
          <t>NOTE</t>
        </is>
      </c>
      <c r="E63" s="50" t="inlineStr">
        <is>
          <t>Simulate rate lock expiry (advance system clock or wait)</t>
        </is>
      </c>
      <c r="F63" s="52" t="inlineStr"/>
      <c r="G63" s="52" t="inlineStr"/>
      <c r="H63" s="50" t="inlineStr"/>
      <c r="I63" s="53" t="inlineStr"/>
      <c r="J63" s="50" t="inlineStr"/>
    </row>
    <row r="64" ht="32" customHeight="1">
      <c r="A64" s="47" t="n">
        <v>61</v>
      </c>
      <c r="B64" s="50" t="inlineStr">
        <is>
          <t>E-Commerce Store</t>
        </is>
      </c>
      <c r="C64" s="50" t="inlineStr">
        <is>
          <t>/gold-erp/ecommerce</t>
        </is>
      </c>
      <c r="D64" s="51" t="inlineStr">
        <is>
          <t>ASSERT</t>
        </is>
      </c>
      <c r="E64" s="50" t="inlineStr">
        <is>
          <t>Cart price expired notice</t>
        </is>
      </c>
      <c r="F64" s="52" t="inlineStr">
        <is>
          <t>'Gold rate has changed. Price updated to ₹X'</t>
        </is>
      </c>
      <c r="G64" s="57" t="inlineStr">
        <is>
          <t>Cart refreshes automatically after timer</t>
        </is>
      </c>
      <c r="H64" s="50" t="inlineStr"/>
      <c r="I64" s="53" t="inlineStr"/>
      <c r="J64" s="50" t="inlineStr"/>
    </row>
    <row r="65" ht="18" customHeight="1">
      <c r="A65" s="47" t="n">
        <v>62</v>
      </c>
      <c r="B65" s="50" t="inlineStr">
        <is>
          <t>Metal Rates</t>
        </is>
      </c>
      <c r="C65" s="50" t="inlineStr">
        <is>
          <t>/gold-erp/metal-rates</t>
        </is>
      </c>
      <c r="D65" s="56" t="inlineStr">
        <is>
          <t>ENTER</t>
        </is>
      </c>
      <c r="E65" s="50" t="inlineStr">
        <is>
          <t>Reset rate back to ₹6,820</t>
        </is>
      </c>
      <c r="F65" s="52" t="inlineStr">
        <is>
          <t>₹6,820</t>
        </is>
      </c>
      <c r="G65" s="52" t="inlineStr">
        <is>
          <t>Restore for other tests</t>
        </is>
      </c>
      <c r="H65" s="50" t="inlineStr"/>
      <c r="I65" s="53" t="inlineStr"/>
      <c r="J65" s="50" t="inlineStr"/>
    </row>
    <row r="66" ht="16" customHeight="1">
      <c r="A66" s="70" t="inlineStr">
        <is>
          <t xml:space="preserve">  ▸  SCREEN 7: MIS &amp; SALES ANALYTICS</t>
        </is>
      </c>
      <c r="B66" s="60" t="n"/>
      <c r="C66" s="60" t="n"/>
      <c r="D66" s="60" t="n"/>
      <c r="E66" s="60" t="n"/>
      <c r="F66" s="60" t="n"/>
      <c r="G66" s="60" t="n"/>
      <c r="H66" s="60" t="n"/>
      <c r="I66" s="60" t="n"/>
      <c r="J66" s="61" t="n"/>
    </row>
    <row r="67" ht="18" customHeight="1">
      <c r="A67" s="47" t="n">
        <v>64</v>
      </c>
      <c r="B67" s="50" t="inlineStr">
        <is>
          <t>JW Analytics Dashboard</t>
        </is>
      </c>
      <c r="C67" s="50" t="inlineStr">
        <is>
          <t>/gold-erp/analytics</t>
        </is>
      </c>
      <c r="D67" s="54" t="inlineStr">
        <is>
          <t>NAVIGATE</t>
        </is>
      </c>
      <c r="E67" s="50" t="inlineStr"/>
      <c r="F67" s="52" t="inlineStr"/>
      <c r="G67" s="52" t="inlineStr">
        <is>
          <t>JW analytics dashboard</t>
        </is>
      </c>
      <c r="H67" s="50" t="inlineStr"/>
      <c r="I67" s="53" t="inlineStr"/>
      <c r="J67" s="50" t="inlineStr"/>
    </row>
    <row r="68" ht="18" customHeight="1">
      <c r="A68" s="47" t="n">
        <v>65</v>
      </c>
      <c r="B68" s="50" t="inlineStr">
        <is>
          <t>JW Analytics Dashboard</t>
        </is>
      </c>
      <c r="C68" s="50" t="inlineStr">
        <is>
          <t>/gold-erp/analytics</t>
        </is>
      </c>
      <c r="D68" s="51" t="inlineStr">
        <is>
          <t>ASSERT</t>
        </is>
      </c>
      <c r="E68" s="50" t="inlineStr">
        <is>
          <t>Today's sales revenue</t>
        </is>
      </c>
      <c r="F68" s="52" t="inlineStr">
        <is>
          <t>Matches sum of all POS transactions today</t>
        </is>
      </c>
      <c r="G68" s="57" t="inlineStr">
        <is>
          <t>Cross-verify with POS history</t>
        </is>
      </c>
      <c r="H68" s="50" t="inlineStr"/>
      <c r="I68" s="53" t="inlineStr"/>
      <c r="J68" s="50" t="inlineStr"/>
    </row>
    <row r="69" ht="18" customHeight="1">
      <c r="A69" s="47" t="n">
        <v>66</v>
      </c>
      <c r="B69" s="50" t="inlineStr">
        <is>
          <t>JW Analytics Dashboard</t>
        </is>
      </c>
      <c r="C69" s="50" t="inlineStr">
        <is>
          <t>/gold-erp/analytics</t>
        </is>
      </c>
      <c r="D69" s="51" t="inlineStr">
        <is>
          <t>ASSERT</t>
        </is>
      </c>
      <c r="E69" s="50" t="inlineStr">
        <is>
          <t>Making charges revenue (today)</t>
        </is>
      </c>
      <c r="F69" s="52" t="inlineStr">
        <is>
          <t>Separate line from gold value</t>
        </is>
      </c>
      <c r="G69" s="57" t="inlineStr">
        <is>
          <t>Making charges as % of total revenue</t>
        </is>
      </c>
      <c r="H69" s="50" t="inlineStr"/>
      <c r="I69" s="53" t="inlineStr"/>
      <c r="J69" s="50" t="inlineStr"/>
    </row>
    <row r="70" ht="18" customHeight="1">
      <c r="A70" s="47" t="n">
        <v>67</v>
      </c>
      <c r="B70" s="50" t="inlineStr">
        <is>
          <t>JW Analytics Dashboard</t>
        </is>
      </c>
      <c r="C70" s="50" t="inlineStr">
        <is>
          <t>/gold-erp/analytics</t>
        </is>
      </c>
      <c r="D70" s="51" t="inlineStr">
        <is>
          <t>ASSERT</t>
        </is>
      </c>
      <c r="E70" s="50" t="inlineStr">
        <is>
          <t>Gold weight sold today (gm)</t>
        </is>
      </c>
      <c r="F70" s="52" t="inlineStr">
        <is>
          <t>Matches sum of item weights sold</t>
        </is>
      </c>
      <c r="G70" s="57" t="inlineStr">
        <is>
          <t>Cross-verify with metal ledger outflows</t>
        </is>
      </c>
      <c r="H70" s="50" t="inlineStr"/>
      <c r="I70" s="53" t="inlineStr"/>
      <c r="J70" s="50" t="inlineStr"/>
    </row>
    <row r="71" ht="18" customHeight="1">
      <c r="A71" s="47" t="n">
        <v>68</v>
      </c>
      <c r="B71" s="50" t="inlineStr">
        <is>
          <t>JW Analytics Dashboard</t>
        </is>
      </c>
      <c r="C71" s="50" t="inlineStr">
        <is>
          <t>/gold-erp/analytics</t>
        </is>
      </c>
      <c r="D71" s="51" t="inlineStr">
        <is>
          <t>ASSERT</t>
        </is>
      </c>
      <c r="E71" s="50" t="inlineStr">
        <is>
          <t>Wastage this month (gm)</t>
        </is>
      </c>
      <c r="F71" s="52" t="inlineStr">
        <is>
          <t>Matches sum of wastage entries</t>
        </is>
      </c>
      <c r="G71" s="57" t="inlineStr">
        <is>
          <t>Cross-verify with ghat entries</t>
        </is>
      </c>
      <c r="H71" s="50" t="inlineStr"/>
      <c r="I71" s="53" t="inlineStr"/>
      <c r="J71" s="50" t="inlineStr"/>
    </row>
    <row r="72" ht="18" customHeight="1">
      <c r="A72" s="47" t="n">
        <v>69</v>
      </c>
      <c r="B72" s="50" t="inlineStr">
        <is>
          <t>JW Analytics Dashboard</t>
        </is>
      </c>
      <c r="C72" s="50" t="inlineStr">
        <is>
          <t>/gold-erp/analytics</t>
        </is>
      </c>
      <c r="D72" s="51" t="inlineStr">
        <is>
          <t>ASSERT</t>
        </is>
      </c>
      <c r="E72" s="50" t="inlineStr">
        <is>
          <t>Chit collections today</t>
        </is>
      </c>
      <c r="F72" s="52" t="inlineStr">
        <is>
          <t>₹10,100 (2 payments + 1 late fee)</t>
        </is>
      </c>
      <c r="G72" s="57" t="inlineStr">
        <is>
          <t>From Flow 3 collections</t>
        </is>
      </c>
      <c r="H72" s="50" t="inlineStr"/>
      <c r="I72" s="53" t="inlineStr"/>
      <c r="J72" s="50" t="inlineStr"/>
    </row>
    <row r="73" ht="18" customHeight="1">
      <c r="A73" s="47" t="n">
        <v>70</v>
      </c>
      <c r="B73" s="50" t="inlineStr">
        <is>
          <t>JW Analytics Dashboard</t>
        </is>
      </c>
      <c r="C73" s="50" t="inlineStr">
        <is>
          <t>/gold-erp/analytics</t>
        </is>
      </c>
      <c r="D73" s="51" t="inlineStr">
        <is>
          <t>ASSERT</t>
        </is>
      </c>
      <c r="E73" s="50" t="inlineStr">
        <is>
          <t>Production orders in progress</t>
        </is>
      </c>
      <c r="F73" s="52" t="inlineStr">
        <is>
          <t>PO-2024-0001, PO-2024-0002</t>
        </is>
      </c>
      <c r="G73" s="57" t="inlineStr">
        <is>
          <t>Both from Flows 1 + 14</t>
        </is>
      </c>
      <c r="H73" s="50" t="inlineStr"/>
      <c r="I73" s="53" t="inlineStr"/>
      <c r="J73" s="50" t="inlineStr"/>
    </row>
    <row r="74" ht="16" customHeight="1">
      <c r="A74" s="70" t="inlineStr">
        <is>
          <t xml:space="preserve">  ▸  SCREEN 8: METAL RATE-BASED P&amp;L (UNREALISED GAIN/LOSS)</t>
        </is>
      </c>
      <c r="B74" s="60" t="n"/>
      <c r="C74" s="60" t="n"/>
      <c r="D74" s="60" t="n"/>
      <c r="E74" s="60" t="n"/>
      <c r="F74" s="60" t="n"/>
      <c r="G74" s="60" t="n"/>
      <c r="H74" s="60" t="n"/>
      <c r="I74" s="60" t="n"/>
      <c r="J74" s="61" t="n"/>
    </row>
    <row r="75" ht="18" customHeight="1">
      <c r="A75" s="47" t="n">
        <v>72</v>
      </c>
      <c r="B75" s="50" t="inlineStr">
        <is>
          <t>Metal Finance / Accounting</t>
        </is>
      </c>
      <c r="C75" s="50" t="inlineStr">
        <is>
          <t>/gold-erp/metal-finance</t>
        </is>
      </c>
      <c r="D75" s="54" t="inlineStr">
        <is>
          <t>NAVIGATE</t>
        </is>
      </c>
      <c r="E75" s="50" t="inlineStr"/>
      <c r="F75" s="52" t="inlineStr"/>
      <c r="G75" s="52" t="inlineStr">
        <is>
          <t>Metal finance screen</t>
        </is>
      </c>
      <c r="H75" s="50" t="inlineStr"/>
      <c r="I75" s="53" t="inlineStr"/>
      <c r="J75" s="50" t="inlineStr"/>
    </row>
    <row r="76" ht="18" customHeight="1">
      <c r="A76" s="47" t="n">
        <v>73</v>
      </c>
      <c r="B76" s="50" t="inlineStr">
        <is>
          <t>Metal Finance / Accounting</t>
        </is>
      </c>
      <c r="C76" s="50" t="inlineStr">
        <is>
          <t>/gold-erp/metal-finance</t>
        </is>
      </c>
      <c r="D76" s="51" t="inlineStr">
        <is>
          <t>ASSERT</t>
        </is>
      </c>
      <c r="E76" s="50" t="inlineStr">
        <is>
          <t>Current gold stock (gm)</t>
        </is>
      </c>
      <c r="F76" s="52" t="inlineStr">
        <is>
          <t>~567 gm (from Flow 8 reconciliation)</t>
        </is>
      </c>
      <c r="G76" s="57" t="inlineStr"/>
      <c r="H76" s="50" t="inlineStr"/>
      <c r="I76" s="53" t="inlineStr"/>
      <c r="J76" s="50" t="inlineStr"/>
    </row>
    <row r="77" ht="18" customHeight="1">
      <c r="A77" s="47" t="n">
        <v>74</v>
      </c>
      <c r="B77" s="50" t="inlineStr">
        <is>
          <t>Metal Finance / Accounting</t>
        </is>
      </c>
      <c r="C77" s="50" t="inlineStr">
        <is>
          <t>/gold-erp/metal-finance</t>
        </is>
      </c>
      <c r="D77" s="51" t="inlineStr">
        <is>
          <t>ASSERT</t>
        </is>
      </c>
      <c r="E77" s="50" t="inlineStr">
        <is>
          <t>Average purchase rate</t>
        </is>
      </c>
      <c r="F77" s="52" t="inlineStr">
        <is>
          <t>₹6,820/gm</t>
        </is>
      </c>
      <c r="G77" s="57" t="inlineStr">
        <is>
          <t>All purchased at same rate in these tests</t>
        </is>
      </c>
      <c r="H77" s="50" t="inlineStr"/>
      <c r="I77" s="53" t="inlineStr"/>
      <c r="J77" s="50" t="inlineStr"/>
    </row>
    <row r="78" ht="18" customHeight="1">
      <c r="A78" s="47" t="n">
        <v>75</v>
      </c>
      <c r="B78" s="50" t="inlineStr">
        <is>
          <t>Metal Rates</t>
        </is>
      </c>
      <c r="C78" s="50" t="inlineStr">
        <is>
          <t>/gold-erp/metal-rates</t>
        </is>
      </c>
      <c r="D78" s="56" t="inlineStr">
        <is>
          <t>ENTER</t>
        </is>
      </c>
      <c r="E78" s="50" t="inlineStr">
        <is>
          <t>Change 22K rate to ₹7,100</t>
        </is>
      </c>
      <c r="F78" s="52" t="inlineStr">
        <is>
          <t>₹7,100</t>
        </is>
      </c>
      <c r="G78" s="52" t="inlineStr">
        <is>
          <t>Simulate ₹280/gm rate increase</t>
        </is>
      </c>
      <c r="H78" s="50" t="inlineStr"/>
      <c r="I78" s="53" t="inlineStr"/>
      <c r="J78" s="50" t="inlineStr"/>
    </row>
    <row r="79" ht="18" customHeight="1">
      <c r="A79" s="47" t="n">
        <v>76</v>
      </c>
      <c r="B79" s="50" t="inlineStr">
        <is>
          <t>Metal Finance / Accounting</t>
        </is>
      </c>
      <c r="C79" s="50" t="inlineStr">
        <is>
          <t>/gold-erp/metal-finance</t>
        </is>
      </c>
      <c r="D79" s="51" t="inlineStr">
        <is>
          <t>ASSERT</t>
        </is>
      </c>
      <c r="E79" s="50" t="inlineStr">
        <is>
          <t>Unrealised gain (auto-recalculate)</t>
        </is>
      </c>
      <c r="F79" s="52" t="inlineStr">
        <is>
          <t>≈ ₹1,58,760</t>
        </is>
      </c>
      <c r="G79" s="57" t="inlineStr">
        <is>
          <t>567 gm × (₹7,100 − ₹6,820) = 567 × ₹280 = ₹1,58,760</t>
        </is>
      </c>
      <c r="H79" s="50" t="inlineStr"/>
      <c r="I79" s="53" t="inlineStr"/>
      <c r="J79" s="50" t="inlineStr"/>
    </row>
    <row r="80" ht="18" customHeight="1">
      <c r="A80" s="47" t="n">
        <v>77</v>
      </c>
      <c r="B80" s="50" t="inlineStr">
        <is>
          <t>Metal Finance / Accounting</t>
        </is>
      </c>
      <c r="C80" s="50" t="inlineStr">
        <is>
          <t>/gold-erp/metal-finance</t>
        </is>
      </c>
      <c r="D80" s="56" t="inlineStr">
        <is>
          <t>ENTER</t>
        </is>
      </c>
      <c r="E80" s="50" t="inlineStr">
        <is>
          <t>Change 22K rate to ₹6,500</t>
        </is>
      </c>
      <c r="F80" s="52" t="inlineStr">
        <is>
          <t>₹6,500</t>
        </is>
      </c>
      <c r="G80" s="52" t="inlineStr">
        <is>
          <t>Simulate rate drop</t>
        </is>
      </c>
      <c r="H80" s="50" t="inlineStr"/>
      <c r="I80" s="53" t="inlineStr"/>
      <c r="J80" s="50" t="inlineStr"/>
    </row>
    <row r="81" ht="18" customHeight="1">
      <c r="A81" s="47" t="n">
        <v>78</v>
      </c>
      <c r="B81" s="50" t="inlineStr">
        <is>
          <t>Metal Finance / Accounting</t>
        </is>
      </c>
      <c r="C81" s="50" t="inlineStr">
        <is>
          <t>/gold-erp/metal-finance</t>
        </is>
      </c>
      <c r="D81" s="51" t="inlineStr">
        <is>
          <t>ASSERT</t>
        </is>
      </c>
      <c r="E81" s="50" t="inlineStr">
        <is>
          <t>Unrealised LOSS (auto)</t>
        </is>
      </c>
      <c r="F81" s="52" t="inlineStr">
        <is>
          <t>−₹1,81,440</t>
        </is>
      </c>
      <c r="G81" s="57" t="inlineStr">
        <is>
          <t>567 × (₹6,500 − ₹6,820) = 567 × −₹320 = −₹1,81,440 (loss)</t>
        </is>
      </c>
      <c r="H81" s="50" t="inlineStr"/>
      <c r="I81" s="53" t="inlineStr"/>
      <c r="J81" s="50" t="inlineStr"/>
    </row>
    <row r="82" ht="18" customHeight="1">
      <c r="A82" s="47" t="n">
        <v>79</v>
      </c>
      <c r="B82" s="50" t="inlineStr">
        <is>
          <t>Metal Finance / Accounting</t>
        </is>
      </c>
      <c r="C82" s="50" t="inlineStr">
        <is>
          <t>/gold-erp/metal-finance</t>
        </is>
      </c>
      <c r="D82" s="51" t="inlineStr">
        <is>
          <t>ASSERT</t>
        </is>
      </c>
      <c r="E82" s="50" t="inlineStr">
        <is>
          <t>P&amp;L indicator colour</t>
        </is>
      </c>
      <c r="F82" s="52" t="inlineStr">
        <is>
          <t>RED for loss</t>
        </is>
      </c>
      <c r="G82" s="57" t="inlineStr">
        <is>
          <t>Positive gain = green, loss = red</t>
        </is>
      </c>
      <c r="H82" s="50" t="inlineStr"/>
      <c r="I82" s="53" t="inlineStr"/>
      <c r="J82" s="50" t="inlineStr"/>
    </row>
    <row r="83" ht="18" customHeight="1">
      <c r="A83" s="47" t="n">
        <v>80</v>
      </c>
      <c r="B83" s="50" t="inlineStr">
        <is>
          <t>Metal Rates</t>
        </is>
      </c>
      <c r="C83" s="50" t="inlineStr">
        <is>
          <t>/gold-erp/metal-rates</t>
        </is>
      </c>
      <c r="D83" s="56" t="inlineStr">
        <is>
          <t>ENTER</t>
        </is>
      </c>
      <c r="E83" s="50" t="inlineStr">
        <is>
          <t>Reset rate to ₹6,820</t>
        </is>
      </c>
      <c r="F83" s="52" t="inlineStr">
        <is>
          <t>₹6,820</t>
        </is>
      </c>
      <c r="G83" s="52" t="inlineStr">
        <is>
          <t>Restore for other tests</t>
        </is>
      </c>
      <c r="H83" s="50" t="inlineStr"/>
      <c r="I83" s="53" t="inlineStr"/>
      <c r="J83" s="50" t="inlineStr"/>
    </row>
  </sheetData>
  <mergeCells count="10">
    <mergeCell ref="A44:J44"/>
    <mergeCell ref="A1:J1"/>
    <mergeCell ref="A74:J74"/>
    <mergeCell ref="A17:J17"/>
    <mergeCell ref="A4:J4"/>
    <mergeCell ref="A26:J26"/>
    <mergeCell ref="A2:J2"/>
    <mergeCell ref="A54:J54"/>
    <mergeCell ref="A33:J33"/>
    <mergeCell ref="A66:J6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15: CRM Full Flow — Campaign → Lead → Enquiry → Quote → Convert → 360° View → Helpdesk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Campaign Manager → Smart Lead Capture → Enquiry Desk → Quotation → Follow-up Scheduler → Lead-to-Customer → Customer 360° → Document Vault → Helpdesk → Feedback → Valet Parking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F15</t>
        </is>
      </c>
      <c r="C3" s="47" t="inlineStr">
        <is>
          <t>Steps</t>
        </is>
      </c>
      <c r="D3" s="48" t="n">
        <v>81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SIONIQ CRM covers: Campaign, Lead, Enquiry, Contact, 360° View, Follow-up, Communication Log, Document Vault, Helpdesk, Feedback, Valet Parking — all tested in this flow</t>
        </is>
      </c>
      <c r="F5" s="52" t="inlineStr"/>
      <c r="G5" s="52" t="inlineStr"/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CRM Leads</t>
        </is>
      </c>
      <c r="C6" s="50" t="inlineStr">
        <is>
          <t>/crm/leads</t>
        </is>
      </c>
      <c r="D6" s="54" t="inlineStr">
        <is>
          <t>NAVIGATE</t>
        </is>
      </c>
      <c r="E6" s="50" t="inlineStr"/>
      <c r="F6" s="52" t="inlineStr"/>
      <c r="G6" s="52" t="inlineStr">
        <is>
          <t>CRM leads screen opens</t>
        </is>
      </c>
      <c r="H6" s="50" t="inlineStr"/>
      <c r="I6" s="53" t="inlineStr"/>
      <c r="J6" s="50" t="inlineStr"/>
    </row>
    <row r="7" ht="16" customHeight="1">
      <c r="A7" s="70" t="inlineStr">
        <is>
          <t xml:space="preserve">  ▸  — CAMPAIGN MANAGER —</t>
        </is>
      </c>
      <c r="B7" s="60" t="n"/>
      <c r="C7" s="60" t="n"/>
      <c r="D7" s="60" t="n"/>
      <c r="E7" s="60" t="n"/>
      <c r="F7" s="60" t="n"/>
      <c r="G7" s="60" t="n"/>
      <c r="H7" s="60" t="n"/>
      <c r="I7" s="60" t="n"/>
      <c r="J7" s="61" t="n"/>
    </row>
    <row r="8" ht="18" customHeight="1">
      <c r="A8" s="47" t="n">
        <v>4</v>
      </c>
      <c r="B8" s="50" t="inlineStr">
        <is>
          <t>CRM Leads</t>
        </is>
      </c>
      <c r="C8" s="50" t="inlineStr">
        <is>
          <t>/crm/leads</t>
        </is>
      </c>
      <c r="D8" s="55" t="inlineStr">
        <is>
          <t>CLICK</t>
        </is>
      </c>
      <c r="E8" s="50" t="inlineStr">
        <is>
          <t>Campaign Manager</t>
        </is>
      </c>
      <c r="F8" s="52" t="inlineStr"/>
      <c r="G8" s="52" t="inlineStr">
        <is>
          <t>Campaign list opens</t>
        </is>
      </c>
      <c r="H8" s="50" t="inlineStr"/>
      <c r="I8" s="53" t="inlineStr"/>
      <c r="J8" s="50" t="inlineStr">
        <is>
          <t>Accessible from CRM menu</t>
        </is>
      </c>
    </row>
    <row r="9" ht="18" customHeight="1">
      <c r="A9" s="47" t="n">
        <v>5</v>
      </c>
      <c r="B9" s="50" t="inlineStr">
        <is>
          <t>CRM Leads</t>
        </is>
      </c>
      <c r="C9" s="50" t="inlineStr">
        <is>
          <t>/crm/leads</t>
        </is>
      </c>
      <c r="D9" s="55" t="inlineStr">
        <is>
          <t>CLICK</t>
        </is>
      </c>
      <c r="E9" s="50" t="inlineStr">
        <is>
          <t>+ New Campaign</t>
        </is>
      </c>
      <c r="F9" s="52" t="inlineStr"/>
      <c r="G9" s="52" t="inlineStr">
        <is>
          <t>Campaign form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CRM Leads</t>
        </is>
      </c>
      <c r="C10" s="50" t="inlineStr">
        <is>
          <t>/crm/leads</t>
        </is>
      </c>
      <c r="D10" s="56" t="inlineStr">
        <is>
          <t>ENTER</t>
        </is>
      </c>
      <c r="E10" s="50" t="inlineStr">
        <is>
          <t>Campaign Name</t>
        </is>
      </c>
      <c r="F10" s="52" t="inlineStr">
        <is>
          <t>Diwali 2024 — 0% Making Charge Offer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CRM Leads</t>
        </is>
      </c>
      <c r="C11" s="50" t="inlineStr">
        <is>
          <t>/crm/leads</t>
        </is>
      </c>
      <c r="D11" s="56" t="inlineStr">
        <is>
          <t>ENTER</t>
        </is>
      </c>
      <c r="E11" s="50" t="inlineStr">
        <is>
          <t>Channel</t>
        </is>
      </c>
      <c r="F11" s="52" t="inlineStr">
        <is>
          <t>WhatsApp Broadcast</t>
        </is>
      </c>
      <c r="G11" s="52" t="inlineStr">
        <is>
          <t>Dropdown: WhatsApp / SMS / Email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CRM Leads</t>
        </is>
      </c>
      <c r="C12" s="50" t="inlineStr">
        <is>
          <t>/crm/leads</t>
        </is>
      </c>
      <c r="D12" s="56" t="inlineStr">
        <is>
          <t>ENTER</t>
        </is>
      </c>
      <c r="E12" s="50" t="inlineStr">
        <is>
          <t>Target Segment</t>
        </is>
      </c>
      <c r="F12" s="52" t="inlineStr">
        <is>
          <t>All Gold Members (Loyalty tier)</t>
        </is>
      </c>
      <c r="G12" s="52" t="inlineStr"/>
      <c r="H12" s="50" t="inlineStr"/>
      <c r="I12" s="53" t="inlineStr"/>
      <c r="J12" s="50" t="inlineStr"/>
    </row>
    <row r="13" ht="46" customHeight="1">
      <c r="A13" s="47" t="n">
        <v>9</v>
      </c>
      <c r="B13" s="50" t="inlineStr">
        <is>
          <t>CRM Leads</t>
        </is>
      </c>
      <c r="C13" s="50" t="inlineStr">
        <is>
          <t>/crm/leads</t>
        </is>
      </c>
      <c r="D13" s="56" t="inlineStr">
        <is>
          <t>ENTER</t>
        </is>
      </c>
      <c r="E13" s="50" t="inlineStr">
        <is>
          <t>Message</t>
        </is>
      </c>
      <c r="F13" s="52" t="inlineStr">
        <is>
          <t>Dear {Name}, celebrate Diwali with 0% making charges! Visit us by Oct 31. Reply STOP to opt out.</t>
        </is>
      </c>
      <c r="G13" s="52" t="inlineStr">
        <is>
          <t>Template with variable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CRM Leads</t>
        </is>
      </c>
      <c r="C14" s="50" t="inlineStr">
        <is>
          <t>/crm/leads</t>
        </is>
      </c>
      <c r="D14" s="56" t="inlineStr">
        <is>
          <t>ENTER</t>
        </is>
      </c>
      <c r="E14" s="50" t="inlineStr">
        <is>
          <t>Schedule Date</t>
        </is>
      </c>
      <c r="F14" s="52" t="inlineStr">
        <is>
          <t>Today + 1 day</t>
        </is>
      </c>
      <c r="G14" s="52" t="inlineStr"/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CRM Leads</t>
        </is>
      </c>
      <c r="C15" s="50" t="inlineStr">
        <is>
          <t>/crm/leads</t>
        </is>
      </c>
      <c r="D15" s="55" t="inlineStr">
        <is>
          <t>CLICK</t>
        </is>
      </c>
      <c r="E15" s="50" t="inlineStr">
        <is>
          <t>Save Campaign</t>
        </is>
      </c>
      <c r="F15" s="52" t="inlineStr"/>
      <c r="G15" s="52" t="inlineStr">
        <is>
          <t>Campaign saved. 3 contacts in target segment.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CRM Leads</t>
        </is>
      </c>
      <c r="C16" s="50" t="inlineStr">
        <is>
          <t>/crm/leads</t>
        </is>
      </c>
      <c r="D16" s="51" t="inlineStr">
        <is>
          <t>ASSERT</t>
        </is>
      </c>
      <c r="E16" s="50" t="inlineStr">
        <is>
          <t>Preview recipient count</t>
        </is>
      </c>
      <c r="F16" s="52" t="inlineStr">
        <is>
          <t>3 contacts</t>
        </is>
      </c>
      <c r="G16" s="57" t="inlineStr">
        <is>
          <t>Meena Reddy + Lakshmi Devi + 1 more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CRM Leads</t>
        </is>
      </c>
      <c r="C17" s="50" t="inlineStr">
        <is>
          <t>/crm/leads</t>
        </is>
      </c>
      <c r="D17" s="55" t="inlineStr">
        <is>
          <t>CLICK</t>
        </is>
      </c>
      <c r="E17" s="50" t="inlineStr">
        <is>
          <t>Send Now (test)</t>
        </is>
      </c>
      <c r="F17" s="52" t="inlineStr"/>
      <c r="G17" s="52" t="inlineStr">
        <is>
          <t>Campaign sent. WhatsApp messages dispatched.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CRM Leads</t>
        </is>
      </c>
      <c r="C18" s="50" t="inlineStr">
        <is>
          <t>/crm/leads</t>
        </is>
      </c>
      <c r="D18" s="51" t="inlineStr">
        <is>
          <t>ASSERT</t>
        </is>
      </c>
      <c r="E18" s="50" t="inlineStr">
        <is>
          <t>Delivery status</t>
        </is>
      </c>
      <c r="F18" s="52" t="inlineStr">
        <is>
          <t>3/3 delivered</t>
        </is>
      </c>
      <c r="G18" s="57" t="inlineStr">
        <is>
          <t>All messages delivered</t>
        </is>
      </c>
      <c r="H18" s="50" t="inlineStr"/>
      <c r="I18" s="53" t="inlineStr"/>
      <c r="J18" s="50" t="inlineStr"/>
    </row>
    <row r="19" ht="16" customHeight="1">
      <c r="A19" s="70" t="inlineStr">
        <is>
          <t xml:space="preserve">  ▸  — SMART LEAD CAPTURE + ENQUIRY DESK —</t>
        </is>
      </c>
      <c r="B19" s="60" t="n"/>
      <c r="C19" s="60" t="n"/>
      <c r="D19" s="60" t="n"/>
      <c r="E19" s="60" t="n"/>
      <c r="F19" s="60" t="n"/>
      <c r="G19" s="60" t="n"/>
      <c r="H19" s="60" t="n"/>
      <c r="I19" s="60" t="n"/>
      <c r="J19" s="61" t="n"/>
    </row>
    <row r="20" ht="18" customHeight="1">
      <c r="A20" s="47" t="n">
        <v>16</v>
      </c>
      <c r="B20" s="50" t="inlineStr">
        <is>
          <t>CRM Leads</t>
        </is>
      </c>
      <c r="C20" s="50" t="inlineStr">
        <is>
          <t>/crm/leads</t>
        </is>
      </c>
      <c r="D20" s="55" t="inlineStr">
        <is>
          <t>CLICK</t>
        </is>
      </c>
      <c r="E20" s="50" t="inlineStr">
        <is>
          <t>+ New Lead</t>
        </is>
      </c>
      <c r="F20" s="52" t="inlineStr"/>
      <c r="G20" s="52" t="inlineStr">
        <is>
          <t>Lead form opens</t>
        </is>
      </c>
      <c r="H20" s="50" t="inlineStr"/>
      <c r="I20" s="53" t="inlineStr"/>
      <c r="J20" s="50" t="inlineStr">
        <is>
          <t>New walk-in or call</t>
        </is>
      </c>
    </row>
    <row r="21" ht="18" customHeight="1">
      <c r="A21" s="47" t="n">
        <v>17</v>
      </c>
      <c r="B21" s="50" t="inlineStr">
        <is>
          <t>CRM Leads</t>
        </is>
      </c>
      <c r="C21" s="50" t="inlineStr">
        <is>
          <t>/crm/leads</t>
        </is>
      </c>
      <c r="D21" s="56" t="inlineStr">
        <is>
          <t>ENTER</t>
        </is>
      </c>
      <c r="E21" s="50" t="inlineStr">
        <is>
          <t>Lead Name</t>
        </is>
      </c>
      <c r="F21" s="52" t="inlineStr">
        <is>
          <t>Vijay Kumar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CRM Leads</t>
        </is>
      </c>
      <c r="C22" s="50" t="inlineStr">
        <is>
          <t>/crm/leads</t>
        </is>
      </c>
      <c r="D22" s="56" t="inlineStr">
        <is>
          <t>ENTER</t>
        </is>
      </c>
      <c r="E22" s="50" t="inlineStr">
        <is>
          <t>Mobile</t>
        </is>
      </c>
      <c r="F22" s="52" t="inlineStr">
        <is>
          <t>9001122334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CRM Leads</t>
        </is>
      </c>
      <c r="C23" s="50" t="inlineStr">
        <is>
          <t>/crm/leads</t>
        </is>
      </c>
      <c r="D23" s="56" t="inlineStr">
        <is>
          <t>ENTER</t>
        </is>
      </c>
      <c r="E23" s="50" t="inlineStr">
        <is>
          <t>Source</t>
        </is>
      </c>
      <c r="F23" s="52" t="inlineStr">
        <is>
          <t>Walk-in</t>
        </is>
      </c>
      <c r="G23" s="52" t="inlineStr">
        <is>
          <t>Dropdown: Walk-in / Referral / Campaign / Social / Website</t>
        </is>
      </c>
      <c r="H23" s="50" t="inlineStr"/>
      <c r="I23" s="53" t="inlineStr"/>
      <c r="J23" s="50" t="inlineStr"/>
    </row>
    <row r="24" ht="32" customHeight="1">
      <c r="A24" s="47" t="n">
        <v>20</v>
      </c>
      <c r="B24" s="50" t="inlineStr">
        <is>
          <t>CRM Leads</t>
        </is>
      </c>
      <c r="C24" s="50" t="inlineStr">
        <is>
          <t>/crm/leads</t>
        </is>
      </c>
      <c r="D24" s="56" t="inlineStr">
        <is>
          <t>ENTER</t>
        </is>
      </c>
      <c r="E24" s="50" t="inlineStr">
        <is>
          <t>Interest</t>
        </is>
      </c>
      <c r="F24" s="52" t="inlineStr">
        <is>
          <t>Wedding jewellery — 22K necklace set + earrings</t>
        </is>
      </c>
      <c r="G24" s="52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CRM Leads</t>
        </is>
      </c>
      <c r="C25" s="50" t="inlineStr">
        <is>
          <t>/crm/leads</t>
        </is>
      </c>
      <c r="D25" s="56" t="inlineStr">
        <is>
          <t>ENTER</t>
        </is>
      </c>
      <c r="E25" s="50" t="inlineStr">
        <is>
          <t>Estimated Budget</t>
        </is>
      </c>
      <c r="F25" s="52" t="inlineStr">
        <is>
          <t>₹2,00,000</t>
        </is>
      </c>
      <c r="G25" s="52" t="inlineStr"/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CRM Leads</t>
        </is>
      </c>
      <c r="C26" s="50" t="inlineStr">
        <is>
          <t>/crm/leads</t>
        </is>
      </c>
      <c r="D26" s="56" t="inlineStr">
        <is>
          <t>ENTER</t>
        </is>
      </c>
      <c r="E26" s="50" t="inlineStr">
        <is>
          <t>Follow-up Date</t>
        </is>
      </c>
      <c r="F26" s="52" t="inlineStr">
        <is>
          <t>Today + 2 days</t>
        </is>
      </c>
      <c r="G26" s="52" t="inlineStr"/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CRM Leads</t>
        </is>
      </c>
      <c r="C27" s="50" t="inlineStr">
        <is>
          <t>/crm/leads</t>
        </is>
      </c>
      <c r="D27" s="55" t="inlineStr">
        <is>
          <t>CLICK</t>
        </is>
      </c>
      <c r="E27" s="50" t="inlineStr">
        <is>
          <t>Save Lead</t>
        </is>
      </c>
      <c r="F27" s="52" t="inlineStr"/>
      <c r="G27" s="52" t="inlineStr">
        <is>
          <t>Lead LEAD-001 created. Status: New.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CRM Leads</t>
        </is>
      </c>
      <c r="C28" s="50" t="inlineStr">
        <is>
          <t>/crm/leads</t>
        </is>
      </c>
      <c r="D28" s="51" t="inlineStr">
        <is>
          <t>ASSERT</t>
        </is>
      </c>
      <c r="E28" s="50" t="inlineStr">
        <is>
          <t>Lead in pipeline</t>
        </is>
      </c>
      <c r="F28" s="52" t="inlineStr">
        <is>
          <t>LEAD-001 — Vijay Kumar — ₹2,00,000</t>
        </is>
      </c>
      <c r="G28" s="57" t="inlineStr">
        <is>
          <t>Visible in lead list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CRM Leads</t>
        </is>
      </c>
      <c r="C29" s="50" t="inlineStr">
        <is>
          <t>/crm/leads</t>
        </is>
      </c>
      <c r="D29" s="55" t="inlineStr">
        <is>
          <t>CLICK</t>
        </is>
      </c>
      <c r="E29" s="50" t="inlineStr">
        <is>
          <t>Convert to Enquiry — LEAD-001</t>
        </is>
      </c>
      <c r="F29" s="52" t="inlineStr"/>
      <c r="G29" s="52" t="inlineStr">
        <is>
          <t>Enquiry form with lead data pre-filled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CRM Leads</t>
        </is>
      </c>
      <c r="C30" s="50" t="inlineStr">
        <is>
          <t>/crm/leads</t>
        </is>
      </c>
      <c r="D30" s="56" t="inlineStr">
        <is>
          <t>ENTER</t>
        </is>
      </c>
      <c r="E30" s="50" t="inlineStr">
        <is>
          <t>Enquiry Type</t>
        </is>
      </c>
      <c r="F30" s="52" t="inlineStr">
        <is>
          <t>New purchase</t>
        </is>
      </c>
      <c r="G30" s="52" t="inlineStr"/>
      <c r="H30" s="50" t="inlineStr"/>
      <c r="I30" s="53" t="inlineStr"/>
      <c r="J30" s="50" t="inlineStr"/>
    </row>
    <row r="31" ht="32" customHeight="1">
      <c r="A31" s="47" t="n">
        <v>27</v>
      </c>
      <c r="B31" s="50" t="inlineStr">
        <is>
          <t>CRM Leads</t>
        </is>
      </c>
      <c r="C31" s="50" t="inlineStr">
        <is>
          <t>/crm/leads</t>
        </is>
      </c>
      <c r="D31" s="56" t="inlineStr">
        <is>
          <t>ENTER</t>
        </is>
      </c>
      <c r="E31" s="50" t="inlineStr">
        <is>
          <t>Items of interest</t>
        </is>
      </c>
      <c r="F31" s="52" t="inlineStr">
        <is>
          <t>22K necklace set DS-NK-001 + matching earrings</t>
        </is>
      </c>
      <c r="G31" s="52" t="inlineStr"/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CRM Leads</t>
        </is>
      </c>
      <c r="C32" s="50" t="inlineStr">
        <is>
          <t>/crm/leads</t>
        </is>
      </c>
      <c r="D32" s="56" t="inlineStr">
        <is>
          <t>ENTER</t>
        </is>
      </c>
      <c r="E32" s="50" t="inlineStr">
        <is>
          <t>Occasion</t>
        </is>
      </c>
      <c r="F32" s="52" t="inlineStr">
        <is>
          <t>Wedding — daughter's marriage Jan 2025</t>
        </is>
      </c>
      <c r="G32" s="52" t="inlineStr"/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CRM Leads</t>
        </is>
      </c>
      <c r="C33" s="50" t="inlineStr">
        <is>
          <t>/crm/leads</t>
        </is>
      </c>
      <c r="D33" s="56" t="inlineStr">
        <is>
          <t>ENTER</t>
        </is>
      </c>
      <c r="E33" s="50" t="inlineStr">
        <is>
          <t>Quantity</t>
        </is>
      </c>
      <c r="F33" s="52" t="inlineStr">
        <is>
          <t>1 necklace set + 1 earring pair</t>
        </is>
      </c>
      <c r="G33" s="52" t="inlineStr"/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CRM Leads</t>
        </is>
      </c>
      <c r="C34" s="50" t="inlineStr">
        <is>
          <t>/crm/leads</t>
        </is>
      </c>
      <c r="D34" s="56" t="inlineStr">
        <is>
          <t>ENTER</t>
        </is>
      </c>
      <c r="E34" s="50" t="inlineStr">
        <is>
          <t>Assigned to Staff</t>
        </is>
      </c>
      <c r="F34" s="52" t="inlineStr">
        <is>
          <t>Raju Goldsmith (sales)</t>
        </is>
      </c>
      <c r="G34" s="52" t="inlineStr"/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CRM Leads</t>
        </is>
      </c>
      <c r="C35" s="50" t="inlineStr">
        <is>
          <t>/crm/leads</t>
        </is>
      </c>
      <c r="D35" s="55" t="inlineStr">
        <is>
          <t>CLICK</t>
        </is>
      </c>
      <c r="E35" s="50" t="inlineStr">
        <is>
          <t>Save Enquiry</t>
        </is>
      </c>
      <c r="F35" s="52" t="inlineStr"/>
      <c r="G35" s="52" t="inlineStr">
        <is>
          <t>ENQ-CRM-001 created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CRM Leads</t>
        </is>
      </c>
      <c r="C36" s="50" t="inlineStr">
        <is>
          <t>/crm/leads</t>
        </is>
      </c>
      <c r="D36" s="55" t="inlineStr">
        <is>
          <t>CLICK</t>
        </is>
      </c>
      <c r="E36" s="50" t="inlineStr">
        <is>
          <t>Generate Quotation — ENQ-CRM-001</t>
        </is>
      </c>
      <c r="F36" s="52" t="inlineStr"/>
      <c r="G36" s="52" t="inlineStr">
        <is>
          <t>Quotation form pre-filled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CRM Leads</t>
        </is>
      </c>
      <c r="C37" s="50" t="inlineStr">
        <is>
          <t>/crm/leads</t>
        </is>
      </c>
      <c r="D37" s="51" t="inlineStr">
        <is>
          <t>ASSERT</t>
        </is>
      </c>
      <c r="E37" s="50" t="inlineStr">
        <is>
          <t>Items pre-filled</t>
        </is>
      </c>
      <c r="F37" s="52" t="inlineStr">
        <is>
          <t>DS-NK-001 + earrings</t>
        </is>
      </c>
      <c r="G37" s="57" t="inlineStr">
        <is>
          <t>From enquiry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CRM Leads</t>
        </is>
      </c>
      <c r="C38" s="50" t="inlineStr">
        <is>
          <t>/crm/leads</t>
        </is>
      </c>
      <c r="D38" s="51" t="inlineStr">
        <is>
          <t>ASSERT</t>
        </is>
      </c>
      <c r="E38" s="50" t="inlineStr">
        <is>
          <t>Quotation value (auto)</t>
        </is>
      </c>
      <c r="F38" s="52" t="inlineStr">
        <is>
          <t>₹1,93,540</t>
        </is>
      </c>
      <c r="G38" s="57" t="inlineStr">
        <is>
          <t>Based on live gold rate + making charges</t>
        </is>
      </c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CRM Leads</t>
        </is>
      </c>
      <c r="C39" s="50" t="inlineStr">
        <is>
          <t>/crm/leads</t>
        </is>
      </c>
      <c r="D39" s="55" t="inlineStr">
        <is>
          <t>CLICK</t>
        </is>
      </c>
      <c r="E39" s="50" t="inlineStr">
        <is>
          <t>Send Quote via WhatsApp — 9001122334</t>
        </is>
      </c>
      <c r="F39" s="52" t="inlineStr"/>
      <c r="G39" s="52" t="inlineStr">
        <is>
          <t>Quote PDF sent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CRM Leads</t>
        </is>
      </c>
      <c r="C40" s="50" t="inlineStr">
        <is>
          <t>/crm/leads</t>
        </is>
      </c>
      <c r="D40" s="51" t="inlineStr">
        <is>
          <t>ASSERT</t>
        </is>
      </c>
      <c r="E40" s="50" t="inlineStr">
        <is>
          <t>Lead status updates</t>
        </is>
      </c>
      <c r="F40" s="52" t="inlineStr">
        <is>
          <t>Quotation Sent</t>
        </is>
      </c>
      <c r="G40" s="57" t="inlineStr">
        <is>
          <t>Status trail maintained</t>
        </is>
      </c>
      <c r="H40" s="50" t="inlineStr"/>
      <c r="I40" s="53" t="inlineStr"/>
      <c r="J40" s="50" t="inlineStr"/>
    </row>
    <row r="41" ht="16" customHeight="1">
      <c r="A41" s="70" t="inlineStr">
        <is>
          <t xml:space="preserve">  ▸  — FOLLOW-UP SCHEDULER + OPPORTUNITY TRACKER —</t>
        </is>
      </c>
      <c r="B41" s="60" t="n"/>
      <c r="C41" s="60" t="n"/>
      <c r="D41" s="60" t="n"/>
      <c r="E41" s="60" t="n"/>
      <c r="F41" s="60" t="n"/>
      <c r="G41" s="60" t="n"/>
      <c r="H41" s="60" t="n"/>
      <c r="I41" s="60" t="n"/>
      <c r="J41" s="61" t="n"/>
    </row>
    <row r="42" ht="18" customHeight="1">
      <c r="A42" s="47" t="n">
        <v>38</v>
      </c>
      <c r="B42" s="50" t="inlineStr">
        <is>
          <t>CRM Leads</t>
        </is>
      </c>
      <c r="C42" s="50" t="inlineStr">
        <is>
          <t>/crm/leads</t>
        </is>
      </c>
      <c r="D42" s="55" t="inlineStr">
        <is>
          <t>CLICK</t>
        </is>
      </c>
      <c r="E42" s="50" t="inlineStr">
        <is>
          <t>Schedule Follow-up — LEAD-001</t>
        </is>
      </c>
      <c r="F42" s="52" t="inlineStr"/>
      <c r="G42" s="52" t="inlineStr">
        <is>
          <t>Follow-up form</t>
        </is>
      </c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CRM Leads</t>
        </is>
      </c>
      <c r="C43" s="50" t="inlineStr">
        <is>
          <t>/crm/leads</t>
        </is>
      </c>
      <c r="D43" s="56" t="inlineStr">
        <is>
          <t>ENTER</t>
        </is>
      </c>
      <c r="E43" s="50" t="inlineStr">
        <is>
          <t>Follow-up Date</t>
        </is>
      </c>
      <c r="F43" s="52" t="inlineStr">
        <is>
          <t>Today + 2 days</t>
        </is>
      </c>
      <c r="G43" s="52" t="inlineStr"/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CRM Leads</t>
        </is>
      </c>
      <c r="C44" s="50" t="inlineStr">
        <is>
          <t>/crm/leads</t>
        </is>
      </c>
      <c r="D44" s="56" t="inlineStr">
        <is>
          <t>ENTER</t>
        </is>
      </c>
      <c r="E44" s="50" t="inlineStr">
        <is>
          <t>Follow-up Method</t>
        </is>
      </c>
      <c r="F44" s="52" t="inlineStr">
        <is>
          <t>Phone call</t>
        </is>
      </c>
      <c r="G44" s="52" t="inlineStr"/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CRM Leads</t>
        </is>
      </c>
      <c r="C45" s="50" t="inlineStr">
        <is>
          <t>/crm/leads</t>
        </is>
      </c>
      <c r="D45" s="56" t="inlineStr">
        <is>
          <t>ENTER</t>
        </is>
      </c>
      <c r="E45" s="50" t="inlineStr">
        <is>
          <t>Notes</t>
        </is>
      </c>
      <c r="F45" s="52" t="inlineStr">
        <is>
          <t>Customer wants to compare 18K option also</t>
        </is>
      </c>
      <c r="G45" s="52" t="inlineStr"/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CRM Leads</t>
        </is>
      </c>
      <c r="C46" s="50" t="inlineStr">
        <is>
          <t>/crm/leads</t>
        </is>
      </c>
      <c r="D46" s="55" t="inlineStr">
        <is>
          <t>CLICK</t>
        </is>
      </c>
      <c r="E46" s="50" t="inlineStr">
        <is>
          <t>Save Follow-up</t>
        </is>
      </c>
      <c r="F46" s="52" t="inlineStr"/>
      <c r="G46" s="52" t="inlineStr">
        <is>
          <t>Follow-up scheduled. Reminder will trigger on due date.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CRM Leads</t>
        </is>
      </c>
      <c r="C47" s="50" t="inlineStr">
        <is>
          <t>/crm/leads</t>
        </is>
      </c>
      <c r="D47" s="51" t="inlineStr">
        <is>
          <t>ASSERT</t>
        </is>
      </c>
      <c r="E47" s="50" t="inlineStr">
        <is>
          <t>Opportunity value</t>
        </is>
      </c>
      <c r="F47" s="52" t="inlineStr">
        <is>
          <t>₹1,93,540</t>
        </is>
      </c>
      <c r="G47" s="57" t="inlineStr">
        <is>
          <t>Shown in sales funnel</t>
        </is>
      </c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CRM Leads</t>
        </is>
      </c>
      <c r="C48" s="50" t="inlineStr">
        <is>
          <t>/crm/leads</t>
        </is>
      </c>
      <c r="D48" s="51" t="inlineStr">
        <is>
          <t>ASSERT</t>
        </is>
      </c>
      <c r="E48" s="50" t="inlineStr">
        <is>
          <t>Sales Funnel Insights</t>
        </is>
      </c>
      <c r="F48" s="52" t="inlineStr">
        <is>
          <t>Lead → Enquiry → Quote Sent</t>
        </is>
      </c>
      <c r="G48" s="57" t="inlineStr">
        <is>
          <t>Pipeline stage visible</t>
        </is>
      </c>
      <c r="H48" s="50" t="inlineStr"/>
      <c r="I48" s="53" t="inlineStr"/>
      <c r="J48" s="50" t="inlineStr"/>
    </row>
    <row r="49" ht="16" customHeight="1">
      <c r="A49" s="70" t="inlineStr">
        <is>
          <t xml:space="preserve">  ▸  — LEAD TO CUSTOMER CONVERSION —</t>
        </is>
      </c>
      <c r="B49" s="60" t="n"/>
      <c r="C49" s="60" t="n"/>
      <c r="D49" s="60" t="n"/>
      <c r="E49" s="60" t="n"/>
      <c r="F49" s="60" t="n"/>
      <c r="G49" s="60" t="n"/>
      <c r="H49" s="60" t="n"/>
      <c r="I49" s="60" t="n"/>
      <c r="J49" s="61" t="n"/>
    </row>
    <row r="50" ht="18" customHeight="1">
      <c r="A50" s="47" t="n">
        <v>46</v>
      </c>
      <c r="B50" s="50" t="inlineStr">
        <is>
          <t>CRM Leads</t>
        </is>
      </c>
      <c r="C50" s="50" t="inlineStr">
        <is>
          <t>/crm/leads</t>
        </is>
      </c>
      <c r="D50" s="55" t="inlineStr">
        <is>
          <t>CLICK</t>
        </is>
      </c>
      <c r="E50" s="50" t="inlineStr">
        <is>
          <t>Mark as Won — LEAD-001</t>
        </is>
      </c>
      <c r="F50" s="52" t="inlineStr"/>
      <c r="G50" s="52" t="inlineStr">
        <is>
          <t>Confirmation: Convert to customer</t>
        </is>
      </c>
      <c r="H50" s="50" t="inlineStr"/>
      <c r="I50" s="53" t="inlineStr"/>
      <c r="J50" s="50" t="inlineStr"/>
    </row>
    <row r="51" ht="18" customHeight="1">
      <c r="A51" s="47" t="n">
        <v>47</v>
      </c>
      <c r="B51" s="50" t="inlineStr">
        <is>
          <t>CRM Leads</t>
        </is>
      </c>
      <c r="C51" s="50" t="inlineStr">
        <is>
          <t>/crm/leads</t>
        </is>
      </c>
      <c r="D51" s="55" t="inlineStr">
        <is>
          <t>CLICK</t>
        </is>
      </c>
      <c r="E51" s="50" t="inlineStr">
        <is>
          <t>Confirm Convert to Customer</t>
        </is>
      </c>
      <c r="F51" s="52" t="inlineStr"/>
      <c r="G51" s="52" t="inlineStr"/>
      <c r="H51" s="50" t="inlineStr"/>
      <c r="I51" s="53" t="inlineStr"/>
      <c r="J51" s="50" t="inlineStr"/>
    </row>
    <row r="52" ht="18" customHeight="1">
      <c r="A52" s="47" t="n">
        <v>48</v>
      </c>
      <c r="B52" s="50" t="inlineStr">
        <is>
          <t>CRM Leads</t>
        </is>
      </c>
      <c r="C52" s="50" t="inlineStr">
        <is>
          <t>/crm/leads</t>
        </is>
      </c>
      <c r="D52" s="51" t="inlineStr">
        <is>
          <t>ASSERT</t>
        </is>
      </c>
      <c r="E52" s="50" t="inlineStr">
        <is>
          <t>Customer created</t>
        </is>
      </c>
      <c r="F52" s="52" t="inlineStr">
        <is>
          <t>Vijay Kumar — 9001122334</t>
        </is>
      </c>
      <c r="G52" s="57" t="inlineStr">
        <is>
          <t>New customer record in system</t>
        </is>
      </c>
      <c r="H52" s="50" t="inlineStr"/>
      <c r="I52" s="53" t="inlineStr"/>
      <c r="J52" s="50" t="inlineStr"/>
    </row>
    <row r="53" ht="18" customHeight="1">
      <c r="A53" s="47" t="n">
        <v>49</v>
      </c>
      <c r="B53" s="50" t="inlineStr">
        <is>
          <t>CRM Leads</t>
        </is>
      </c>
      <c r="C53" s="50" t="inlineStr">
        <is>
          <t>/crm/leads</t>
        </is>
      </c>
      <c r="D53" s="51" t="inlineStr">
        <is>
          <t>ASSERT</t>
        </is>
      </c>
      <c r="E53" s="50" t="inlineStr">
        <is>
          <t>Lead status</t>
        </is>
      </c>
      <c r="F53" s="52" t="inlineStr">
        <is>
          <t>Won — Converted</t>
        </is>
      </c>
      <c r="G53" s="57" t="inlineStr"/>
      <c r="H53" s="50" t="inlineStr"/>
      <c r="I53" s="53" t="inlineStr"/>
      <c r="J53" s="50" t="inlineStr"/>
    </row>
    <row r="54" ht="16" customHeight="1">
      <c r="A54" s="70" t="inlineStr">
        <is>
          <t xml:space="preserve">  ▸  — CUSTOMER 360° VIEW —</t>
        </is>
      </c>
      <c r="B54" s="60" t="n"/>
      <c r="C54" s="60" t="n"/>
      <c r="D54" s="60" t="n"/>
      <c r="E54" s="60" t="n"/>
      <c r="F54" s="60" t="n"/>
      <c r="G54" s="60" t="n"/>
      <c r="H54" s="60" t="n"/>
      <c r="I54" s="60" t="n"/>
      <c r="J54" s="61" t="n"/>
    </row>
    <row r="55" ht="18" customHeight="1">
      <c r="A55" s="47" t="n">
        <v>51</v>
      </c>
      <c r="B55" s="50" t="inlineStr">
        <is>
          <t>CRM Leads</t>
        </is>
      </c>
      <c r="C55" s="50" t="inlineStr">
        <is>
          <t>/crm/leads</t>
        </is>
      </c>
      <c r="D55" s="55" t="inlineStr">
        <is>
          <t>CLICK</t>
        </is>
      </c>
      <c r="E55" s="50" t="inlineStr">
        <is>
          <t>View Customer 360° — Vijay Kumar</t>
        </is>
      </c>
      <c r="F55" s="52" t="inlineStr"/>
      <c r="G55" s="52" t="inlineStr">
        <is>
          <t>360 view opens</t>
        </is>
      </c>
      <c r="H55" s="50" t="inlineStr"/>
      <c r="I55" s="53" t="inlineStr"/>
      <c r="J55" s="50" t="inlineStr"/>
    </row>
    <row r="56" ht="18" customHeight="1">
      <c r="A56" s="47" t="n">
        <v>52</v>
      </c>
      <c r="B56" s="50" t="inlineStr">
        <is>
          <t>CRM Leads</t>
        </is>
      </c>
      <c r="C56" s="50" t="inlineStr">
        <is>
          <t>/crm/leads</t>
        </is>
      </c>
      <c r="D56" s="51" t="inlineStr">
        <is>
          <t>ASSERT</t>
        </is>
      </c>
      <c r="E56" s="50" t="inlineStr">
        <is>
          <t>Enquiries tab</t>
        </is>
      </c>
      <c r="F56" s="52" t="inlineStr">
        <is>
          <t>ENQ-CRM-001 visible</t>
        </is>
      </c>
      <c r="G56" s="57" t="inlineStr"/>
      <c r="H56" s="50" t="inlineStr"/>
      <c r="I56" s="53" t="inlineStr"/>
      <c r="J56" s="50" t="inlineStr"/>
    </row>
    <row r="57" ht="18" customHeight="1">
      <c r="A57" s="47" t="n">
        <v>53</v>
      </c>
      <c r="B57" s="50" t="inlineStr">
        <is>
          <t>CRM Leads</t>
        </is>
      </c>
      <c r="C57" s="50" t="inlineStr">
        <is>
          <t>/crm/leads</t>
        </is>
      </c>
      <c r="D57" s="51" t="inlineStr">
        <is>
          <t>ASSERT</t>
        </is>
      </c>
      <c r="E57" s="50" t="inlineStr">
        <is>
          <t>Quotations tab</t>
        </is>
      </c>
      <c r="F57" s="52" t="inlineStr">
        <is>
          <t>Quote for ₹1,93,540 visible</t>
        </is>
      </c>
      <c r="G57" s="57" t="inlineStr"/>
      <c r="H57" s="50" t="inlineStr"/>
      <c r="I57" s="53" t="inlineStr"/>
      <c r="J57" s="50" t="inlineStr"/>
    </row>
    <row r="58" ht="18" customHeight="1">
      <c r="A58" s="47" t="n">
        <v>54</v>
      </c>
      <c r="B58" s="50" t="inlineStr">
        <is>
          <t>CRM Leads</t>
        </is>
      </c>
      <c r="C58" s="50" t="inlineStr">
        <is>
          <t>/crm/leads</t>
        </is>
      </c>
      <c r="D58" s="51" t="inlineStr">
        <is>
          <t>ASSERT</t>
        </is>
      </c>
      <c r="E58" s="50" t="inlineStr">
        <is>
          <t>Communication Log</t>
        </is>
      </c>
      <c r="F58" s="52" t="inlineStr">
        <is>
          <t>WhatsApp + follow-up history</t>
        </is>
      </c>
      <c r="G58" s="57" t="inlineStr">
        <is>
          <t>All touchpoints logged</t>
        </is>
      </c>
      <c r="H58" s="50" t="inlineStr"/>
      <c r="I58" s="53" t="inlineStr"/>
      <c r="J58" s="50" t="inlineStr"/>
    </row>
    <row r="59" ht="18" customHeight="1">
      <c r="A59" s="47" t="n">
        <v>55</v>
      </c>
      <c r="B59" s="50" t="inlineStr">
        <is>
          <t>CRM Leads</t>
        </is>
      </c>
      <c r="C59" s="50" t="inlineStr">
        <is>
          <t>/crm/leads</t>
        </is>
      </c>
      <c r="D59" s="51" t="inlineStr">
        <is>
          <t>ASSERT</t>
        </is>
      </c>
      <c r="E59" s="50" t="inlineStr">
        <is>
          <t>Orders tab</t>
        </is>
      </c>
      <c r="F59" s="52" t="inlineStr">
        <is>
          <t>No orders yet</t>
        </is>
      </c>
      <c r="G59" s="57" t="inlineStr">
        <is>
          <t>Empty — will fill after purchase</t>
        </is>
      </c>
      <c r="H59" s="50" t="inlineStr"/>
      <c r="I59" s="53" t="inlineStr"/>
      <c r="J59" s="50" t="inlineStr"/>
    </row>
    <row r="60" ht="16" customHeight="1">
      <c r="A60" s="70" t="inlineStr">
        <is>
          <t xml:space="preserve">  ▸  — DOCUMENT VAULT —</t>
        </is>
      </c>
      <c r="B60" s="60" t="n"/>
      <c r="C60" s="60" t="n"/>
      <c r="D60" s="60" t="n"/>
      <c r="E60" s="60" t="n"/>
      <c r="F60" s="60" t="n"/>
      <c r="G60" s="60" t="n"/>
      <c r="H60" s="60" t="n"/>
      <c r="I60" s="60" t="n"/>
      <c r="J60" s="61" t="n"/>
    </row>
    <row r="61" ht="18" customHeight="1">
      <c r="A61" s="47" t="n">
        <v>57</v>
      </c>
      <c r="B61" s="50" t="inlineStr">
        <is>
          <t>CRM Leads</t>
        </is>
      </c>
      <c r="C61" s="50" t="inlineStr">
        <is>
          <t>/crm/leads</t>
        </is>
      </c>
      <c r="D61" s="55" t="inlineStr">
        <is>
          <t>CLICK</t>
        </is>
      </c>
      <c r="E61" s="50" t="inlineStr">
        <is>
          <t>Document Vault — Vijay Kumar</t>
        </is>
      </c>
      <c r="F61" s="52" t="inlineStr"/>
      <c r="G61" s="52" t="inlineStr">
        <is>
          <t>Customer document vault</t>
        </is>
      </c>
      <c r="H61" s="50" t="inlineStr"/>
      <c r="I61" s="53" t="inlineStr"/>
      <c r="J61" s="50" t="inlineStr"/>
    </row>
    <row r="62" ht="18" customHeight="1">
      <c r="A62" s="47" t="n">
        <v>58</v>
      </c>
      <c r="B62" s="50" t="inlineStr">
        <is>
          <t>CRM Leads</t>
        </is>
      </c>
      <c r="C62" s="50" t="inlineStr">
        <is>
          <t>/crm/leads</t>
        </is>
      </c>
      <c r="D62" s="55" t="inlineStr">
        <is>
          <t>CLICK</t>
        </is>
      </c>
      <c r="E62" s="50" t="inlineStr">
        <is>
          <t>Upload Aadhaar copy</t>
        </is>
      </c>
      <c r="F62" s="52" t="inlineStr">
        <is>
          <t>aadhaar_vijay.pdf</t>
        </is>
      </c>
      <c r="G62" s="52" t="inlineStr">
        <is>
          <t>KYC document</t>
        </is>
      </c>
      <c r="H62" s="50" t="inlineStr"/>
      <c r="I62" s="53" t="inlineStr"/>
      <c r="J62" s="50" t="inlineStr"/>
    </row>
    <row r="63" ht="18" customHeight="1">
      <c r="A63" s="47" t="n">
        <v>59</v>
      </c>
      <c r="B63" s="50" t="inlineStr">
        <is>
          <t>CRM Leads</t>
        </is>
      </c>
      <c r="C63" s="50" t="inlineStr">
        <is>
          <t>/crm/leads</t>
        </is>
      </c>
      <c r="D63" s="51" t="inlineStr">
        <is>
          <t>ASSERT</t>
        </is>
      </c>
      <c r="E63" s="50" t="inlineStr">
        <is>
          <t>Document stored</t>
        </is>
      </c>
      <c r="F63" s="52" t="inlineStr">
        <is>
          <t>aadhaar_vijay.pdf — uploaded today</t>
        </is>
      </c>
      <c r="G63" s="57" t="inlineStr">
        <is>
          <t>Accessible from customer profile</t>
        </is>
      </c>
      <c r="H63" s="50" t="inlineStr"/>
      <c r="I63" s="53" t="inlineStr"/>
      <c r="J63" s="50" t="inlineStr"/>
    </row>
    <row r="64" ht="16" customHeight="1">
      <c r="A64" s="70" t="inlineStr">
        <is>
          <t xml:space="preserve">  ▸  — CUSTOMER HELPDESK + FEEDBACK —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1" t="n"/>
    </row>
    <row r="65" ht="18" customHeight="1">
      <c r="A65" s="47" t="n">
        <v>61</v>
      </c>
      <c r="B65" s="50" t="inlineStr">
        <is>
          <t>CRM Leads</t>
        </is>
      </c>
      <c r="C65" s="50" t="inlineStr">
        <is>
          <t>/crm/leads</t>
        </is>
      </c>
      <c r="D65" s="55" t="inlineStr">
        <is>
          <t>CLICK</t>
        </is>
      </c>
      <c r="E65" s="50" t="inlineStr">
        <is>
          <t>+ Raise Helpdesk Ticket — Meena Reddy</t>
        </is>
      </c>
      <c r="F65" s="52" t="inlineStr"/>
      <c r="G65" s="52" t="inlineStr">
        <is>
          <t>Ticket form</t>
        </is>
      </c>
      <c r="H65" s="50" t="inlineStr"/>
      <c r="I65" s="53" t="inlineStr"/>
      <c r="J65" s="50" t="inlineStr"/>
    </row>
    <row r="66" ht="18" customHeight="1">
      <c r="A66" s="47" t="n">
        <v>62</v>
      </c>
      <c r="B66" s="50" t="inlineStr">
        <is>
          <t>CRM Leads</t>
        </is>
      </c>
      <c r="C66" s="50" t="inlineStr">
        <is>
          <t>/crm/leads</t>
        </is>
      </c>
      <c r="D66" s="56" t="inlineStr">
        <is>
          <t>ENTER</t>
        </is>
      </c>
      <c r="E66" s="50" t="inlineStr">
        <is>
          <t>Issue Type</t>
        </is>
      </c>
      <c r="F66" s="52" t="inlineStr">
        <is>
          <t>Query — invoice discrepancy</t>
        </is>
      </c>
      <c r="G66" s="52" t="inlineStr"/>
      <c r="H66" s="50" t="inlineStr"/>
      <c r="I66" s="53" t="inlineStr"/>
      <c r="J66" s="50" t="inlineStr"/>
    </row>
    <row r="67" ht="32" customHeight="1">
      <c r="A67" s="47" t="n">
        <v>63</v>
      </c>
      <c r="B67" s="50" t="inlineStr">
        <is>
          <t>CRM Leads</t>
        </is>
      </c>
      <c r="C67" s="50" t="inlineStr">
        <is>
          <t>/crm/leads</t>
        </is>
      </c>
      <c r="D67" s="56" t="inlineStr">
        <is>
          <t>ENTER</t>
        </is>
      </c>
      <c r="E67" s="50" t="inlineStr">
        <is>
          <t>Description</t>
        </is>
      </c>
      <c r="F67" s="52" t="inlineStr">
        <is>
          <t>Invoice amount seems higher than quoted estimate</t>
        </is>
      </c>
      <c r="G67" s="52" t="inlineStr"/>
      <c r="H67" s="50" t="inlineStr"/>
      <c r="I67" s="53" t="inlineStr"/>
      <c r="J67" s="50" t="inlineStr"/>
    </row>
    <row r="68" ht="18" customHeight="1">
      <c r="A68" s="47" t="n">
        <v>64</v>
      </c>
      <c r="B68" s="50" t="inlineStr">
        <is>
          <t>CRM Leads</t>
        </is>
      </c>
      <c r="C68" s="50" t="inlineStr">
        <is>
          <t>/crm/leads</t>
        </is>
      </c>
      <c r="D68" s="56" t="inlineStr">
        <is>
          <t>ENTER</t>
        </is>
      </c>
      <c r="E68" s="50" t="inlineStr">
        <is>
          <t>Priority</t>
        </is>
      </c>
      <c r="F68" s="52" t="inlineStr">
        <is>
          <t>Medium</t>
        </is>
      </c>
      <c r="G68" s="52" t="inlineStr"/>
      <c r="H68" s="50" t="inlineStr"/>
      <c r="I68" s="53" t="inlineStr"/>
      <c r="J68" s="50" t="inlineStr"/>
    </row>
    <row r="69" ht="18" customHeight="1">
      <c r="A69" s="47" t="n">
        <v>65</v>
      </c>
      <c r="B69" s="50" t="inlineStr">
        <is>
          <t>CRM Leads</t>
        </is>
      </c>
      <c r="C69" s="50" t="inlineStr">
        <is>
          <t>/crm/leads</t>
        </is>
      </c>
      <c r="D69" s="55" t="inlineStr">
        <is>
          <t>CLICK</t>
        </is>
      </c>
      <c r="E69" s="50" t="inlineStr">
        <is>
          <t>Submit Ticket</t>
        </is>
      </c>
      <c r="F69" s="52" t="inlineStr"/>
      <c r="G69" s="52" t="inlineStr">
        <is>
          <t>Ticket HELP-001 created. Auto-assigned to staff.</t>
        </is>
      </c>
      <c r="H69" s="50" t="inlineStr"/>
      <c r="I69" s="53" t="inlineStr"/>
      <c r="J69" s="50" t="inlineStr"/>
    </row>
    <row r="70" ht="18" customHeight="1">
      <c r="A70" s="47" t="n">
        <v>66</v>
      </c>
      <c r="B70" s="50" t="inlineStr">
        <is>
          <t>CRM Leads</t>
        </is>
      </c>
      <c r="C70" s="50" t="inlineStr">
        <is>
          <t>/crm/leads</t>
        </is>
      </c>
      <c r="D70" s="55" t="inlineStr">
        <is>
          <t>CLICK</t>
        </is>
      </c>
      <c r="E70" s="50" t="inlineStr">
        <is>
          <t>Resolve HELP-001</t>
        </is>
      </c>
      <c r="F70" s="52" t="inlineStr"/>
      <c r="G70" s="52" t="inlineStr">
        <is>
          <t>Mark resolved with resolution note</t>
        </is>
      </c>
      <c r="H70" s="50" t="inlineStr"/>
      <c r="I70" s="53" t="inlineStr"/>
      <c r="J70" s="50" t="inlineStr"/>
    </row>
    <row r="71" ht="32" customHeight="1">
      <c r="A71" s="47" t="n">
        <v>67</v>
      </c>
      <c r="B71" s="50" t="inlineStr">
        <is>
          <t>CRM Leads</t>
        </is>
      </c>
      <c r="C71" s="50" t="inlineStr">
        <is>
          <t>/crm/leads</t>
        </is>
      </c>
      <c r="D71" s="56" t="inlineStr">
        <is>
          <t>ENTER</t>
        </is>
      </c>
      <c r="E71" s="50" t="inlineStr">
        <is>
          <t>Resolution</t>
        </is>
      </c>
      <c r="F71" s="52" t="inlineStr">
        <is>
          <t>GST was applied correctly — explained to customer</t>
        </is>
      </c>
      <c r="G71" s="52" t="inlineStr"/>
      <c r="H71" s="50" t="inlineStr"/>
      <c r="I71" s="53" t="inlineStr"/>
      <c r="J71" s="50" t="inlineStr"/>
    </row>
    <row r="72" ht="32" customHeight="1">
      <c r="A72" s="47" t="n">
        <v>68</v>
      </c>
      <c r="B72" s="50" t="inlineStr">
        <is>
          <t>CRM Leads</t>
        </is>
      </c>
      <c r="C72" s="50" t="inlineStr">
        <is>
          <t>/crm/leads</t>
        </is>
      </c>
      <c r="D72" s="51" t="inlineStr">
        <is>
          <t>ASSERT</t>
        </is>
      </c>
      <c r="E72" s="50" t="inlineStr">
        <is>
          <t>CSAT (auto-sent)</t>
        </is>
      </c>
      <c r="F72" s="52" t="inlineStr">
        <is>
          <t>WhatsApp: 'Rate your experience 1-5' sent to Meena Reddy</t>
        </is>
      </c>
      <c r="G72" s="57" t="inlineStr">
        <is>
          <t>Feedback auto-triggered on ticket close</t>
        </is>
      </c>
      <c r="H72" s="50" t="inlineStr"/>
      <c r="I72" s="53" t="inlineStr"/>
      <c r="J72" s="50" t="inlineStr"/>
    </row>
    <row r="73" ht="18" customHeight="1">
      <c r="A73" s="47" t="n">
        <v>69</v>
      </c>
      <c r="B73" s="50" t="inlineStr">
        <is>
          <t>CRM Leads</t>
        </is>
      </c>
      <c r="C73" s="50" t="inlineStr">
        <is>
          <t>/crm/leads</t>
        </is>
      </c>
      <c r="D73" s="55" t="inlineStr">
        <is>
          <t>CLICK</t>
        </is>
      </c>
      <c r="E73" s="50" t="inlineStr">
        <is>
          <t>Feedback &amp; Survey Hub</t>
        </is>
      </c>
      <c r="F73" s="52" t="inlineStr"/>
      <c r="G73" s="52" t="inlineStr">
        <is>
          <t>Survey list</t>
        </is>
      </c>
      <c r="H73" s="50" t="inlineStr"/>
      <c r="I73" s="53" t="inlineStr"/>
      <c r="J73" s="50" t="inlineStr"/>
    </row>
    <row r="74" ht="32" customHeight="1">
      <c r="A74" s="47" t="n">
        <v>70</v>
      </c>
      <c r="B74" s="50" t="inlineStr">
        <is>
          <t>CRM Leads</t>
        </is>
      </c>
      <c r="C74" s="50" t="inlineStr">
        <is>
          <t>/crm/leads</t>
        </is>
      </c>
      <c r="D74" s="51" t="inlineStr">
        <is>
          <t>ASSERT</t>
        </is>
      </c>
      <c r="E74" s="50" t="inlineStr">
        <is>
          <t>Pending feedback</t>
        </is>
      </c>
      <c r="F74" s="52" t="inlineStr">
        <is>
          <t>HELP-001 — Meena Reddy — awaiting response</t>
        </is>
      </c>
      <c r="G74" s="57" t="inlineStr"/>
      <c r="H74" s="50" t="inlineStr"/>
      <c r="I74" s="53" t="inlineStr"/>
      <c r="J74" s="50" t="inlineStr"/>
    </row>
    <row r="75" ht="18" customHeight="1">
      <c r="A75" s="47" t="n">
        <v>71</v>
      </c>
      <c r="B75" s="50" t="inlineStr">
        <is>
          <t>CRM Leads</t>
        </is>
      </c>
      <c r="C75" s="50" t="inlineStr">
        <is>
          <t>/crm/leads</t>
        </is>
      </c>
      <c r="D75" s="56" t="inlineStr">
        <is>
          <t>ENTER</t>
        </is>
      </c>
      <c r="E75" s="50" t="inlineStr">
        <is>
          <t>Simulate customer reply</t>
        </is>
      </c>
      <c r="F75" s="52" t="inlineStr">
        <is>
          <t>Rating: 5</t>
        </is>
      </c>
      <c r="G75" s="52" t="inlineStr">
        <is>
          <t>Happy customer</t>
        </is>
      </c>
      <c r="H75" s="50" t="inlineStr"/>
      <c r="I75" s="53" t="inlineStr"/>
      <c r="J75" s="50" t="inlineStr"/>
    </row>
    <row r="76" ht="18" customHeight="1">
      <c r="A76" s="47" t="n">
        <v>72</v>
      </c>
      <c r="B76" s="50" t="inlineStr">
        <is>
          <t>CRM Leads</t>
        </is>
      </c>
      <c r="C76" s="50" t="inlineStr">
        <is>
          <t>/crm/leads</t>
        </is>
      </c>
      <c r="D76" s="51" t="inlineStr">
        <is>
          <t>ASSERT</t>
        </is>
      </c>
      <c r="E76" s="50" t="inlineStr">
        <is>
          <t>Satisfaction score</t>
        </is>
      </c>
      <c r="F76" s="52" t="inlineStr">
        <is>
          <t>5/5</t>
        </is>
      </c>
      <c r="G76" s="57" t="inlineStr">
        <is>
          <t>Logged against customer profile</t>
        </is>
      </c>
      <c r="H76" s="50" t="inlineStr"/>
      <c r="I76" s="53" t="inlineStr"/>
      <c r="J76" s="50" t="inlineStr"/>
    </row>
    <row r="77" ht="16" customHeight="1">
      <c r="A77" s="70" t="inlineStr">
        <is>
          <t xml:space="preserve">  ▸  — VALET PARKING (VIP CUSTOMER) —</t>
        </is>
      </c>
      <c r="B77" s="60" t="n"/>
      <c r="C77" s="60" t="n"/>
      <c r="D77" s="60" t="n"/>
      <c r="E77" s="60" t="n"/>
      <c r="F77" s="60" t="n"/>
      <c r="G77" s="60" t="n"/>
      <c r="H77" s="60" t="n"/>
      <c r="I77" s="60" t="n"/>
      <c r="J77" s="61" t="n"/>
    </row>
    <row r="78" ht="18" customHeight="1">
      <c r="A78" s="47" t="n">
        <v>74</v>
      </c>
      <c r="B78" s="50" t="inlineStr">
        <is>
          <t>CRM Leads</t>
        </is>
      </c>
      <c r="C78" s="50" t="inlineStr">
        <is>
          <t>/crm/leads</t>
        </is>
      </c>
      <c r="D78" s="55" t="inlineStr">
        <is>
          <t>CLICK</t>
        </is>
      </c>
      <c r="E78" s="50" t="inlineStr">
        <is>
          <t>+ Log Valet Entry</t>
        </is>
      </c>
      <c r="F78" s="52" t="inlineStr"/>
      <c r="G78" s="52" t="inlineStr">
        <is>
          <t>Valet form</t>
        </is>
      </c>
      <c r="H78" s="50" t="inlineStr"/>
      <c r="I78" s="53" t="inlineStr"/>
      <c r="J78" s="50" t="inlineStr"/>
    </row>
    <row r="79" ht="18" customHeight="1">
      <c r="A79" s="47" t="n">
        <v>75</v>
      </c>
      <c r="B79" s="50" t="inlineStr">
        <is>
          <t>CRM Leads</t>
        </is>
      </c>
      <c r="C79" s="50" t="inlineStr">
        <is>
          <t>/crm/leads</t>
        </is>
      </c>
      <c r="D79" s="56" t="inlineStr">
        <is>
          <t>ENTER</t>
        </is>
      </c>
      <c r="E79" s="50" t="inlineStr">
        <is>
          <t>Customer</t>
        </is>
      </c>
      <c r="F79" s="52" t="inlineStr">
        <is>
          <t>Vijay Kumar</t>
        </is>
      </c>
      <c r="G79" s="52" t="inlineStr">
        <is>
          <t>VIP customer visit</t>
        </is>
      </c>
      <c r="H79" s="50" t="inlineStr"/>
      <c r="I79" s="53" t="inlineStr"/>
      <c r="J79" s="50" t="inlineStr"/>
    </row>
    <row r="80" ht="18" customHeight="1">
      <c r="A80" s="47" t="n">
        <v>76</v>
      </c>
      <c r="B80" s="50" t="inlineStr">
        <is>
          <t>CRM Leads</t>
        </is>
      </c>
      <c r="C80" s="50" t="inlineStr">
        <is>
          <t>/crm/leads</t>
        </is>
      </c>
      <c r="D80" s="56" t="inlineStr">
        <is>
          <t>ENTER</t>
        </is>
      </c>
      <c r="E80" s="50" t="inlineStr">
        <is>
          <t>Vehicle No</t>
        </is>
      </c>
      <c r="F80" s="52" t="inlineStr">
        <is>
          <t>TS09AB1234</t>
        </is>
      </c>
      <c r="G80" s="52" t="inlineStr"/>
      <c r="H80" s="50" t="inlineStr"/>
      <c r="I80" s="53" t="inlineStr"/>
      <c r="J80" s="50" t="inlineStr"/>
    </row>
    <row r="81" ht="18" customHeight="1">
      <c r="A81" s="47" t="n">
        <v>77</v>
      </c>
      <c r="B81" s="50" t="inlineStr">
        <is>
          <t>CRM Leads</t>
        </is>
      </c>
      <c r="C81" s="50" t="inlineStr">
        <is>
          <t>/crm/leads</t>
        </is>
      </c>
      <c r="D81" s="56" t="inlineStr">
        <is>
          <t>ENTER</t>
        </is>
      </c>
      <c r="E81" s="50" t="inlineStr">
        <is>
          <t>Arrival Time</t>
        </is>
      </c>
      <c r="F81" s="52" t="inlineStr">
        <is>
          <t>11:30 AM</t>
        </is>
      </c>
      <c r="G81" s="52" t="inlineStr"/>
      <c r="H81" s="50" t="inlineStr"/>
      <c r="I81" s="53" t="inlineStr"/>
      <c r="J81" s="50" t="inlineStr"/>
    </row>
    <row r="82" ht="18" customHeight="1">
      <c r="A82" s="47" t="n">
        <v>78</v>
      </c>
      <c r="B82" s="50" t="inlineStr">
        <is>
          <t>CRM Leads</t>
        </is>
      </c>
      <c r="C82" s="50" t="inlineStr">
        <is>
          <t>/crm/leads</t>
        </is>
      </c>
      <c r="D82" s="56" t="inlineStr">
        <is>
          <t>ENTER</t>
        </is>
      </c>
      <c r="E82" s="50" t="inlineStr">
        <is>
          <t>Valet Staff</t>
        </is>
      </c>
      <c r="F82" s="52" t="inlineStr">
        <is>
          <t>Suresh (parking)</t>
        </is>
      </c>
      <c r="G82" s="52" t="inlineStr"/>
      <c r="H82" s="50" t="inlineStr"/>
      <c r="I82" s="53" t="inlineStr"/>
      <c r="J82" s="50" t="inlineStr"/>
    </row>
    <row r="83" ht="18" customHeight="1">
      <c r="A83" s="47" t="n">
        <v>79</v>
      </c>
      <c r="B83" s="50" t="inlineStr">
        <is>
          <t>CRM Leads</t>
        </is>
      </c>
      <c r="C83" s="50" t="inlineStr">
        <is>
          <t>/crm/leads</t>
        </is>
      </c>
      <c r="D83" s="55" t="inlineStr">
        <is>
          <t>CLICK</t>
        </is>
      </c>
      <c r="E83" s="50" t="inlineStr">
        <is>
          <t>Save Entry</t>
        </is>
      </c>
      <c r="F83" s="52" t="inlineStr"/>
      <c r="G83" s="52" t="inlineStr">
        <is>
          <t>Valet token VT-001 generated</t>
        </is>
      </c>
      <c r="H83" s="50" t="inlineStr"/>
      <c r="I83" s="53" t="inlineStr"/>
      <c r="J83" s="50" t="inlineStr"/>
    </row>
    <row r="84" ht="18" customHeight="1">
      <c r="A84" s="47" t="n">
        <v>80</v>
      </c>
      <c r="B84" s="50" t="inlineStr">
        <is>
          <t>CRM Leads</t>
        </is>
      </c>
      <c r="C84" s="50" t="inlineStr">
        <is>
          <t>/crm/leads</t>
        </is>
      </c>
      <c r="D84" s="55" t="inlineStr">
        <is>
          <t>CLICK</t>
        </is>
      </c>
      <c r="E84" s="50" t="inlineStr">
        <is>
          <t>Mark Vehicle Returned</t>
        </is>
      </c>
      <c r="F84" s="52" t="inlineStr"/>
      <c r="G84" s="52" t="inlineStr">
        <is>
          <t>Exit time logged. Total parking duration shown.</t>
        </is>
      </c>
      <c r="H84" s="50" t="inlineStr"/>
      <c r="I84" s="53" t="inlineStr"/>
      <c r="J84" s="50" t="inlineStr"/>
    </row>
    <row r="85" ht="18" customHeight="1">
      <c r="A85" s="47" t="n">
        <v>81</v>
      </c>
      <c r="B85" s="50" t="inlineStr">
        <is>
          <t>CRM Leads</t>
        </is>
      </c>
      <c r="C85" s="50" t="inlineStr">
        <is>
          <t>/crm/leads</t>
        </is>
      </c>
      <c r="D85" s="51" t="inlineStr">
        <is>
          <t>ASSERT</t>
        </is>
      </c>
      <c r="E85" s="50" t="inlineStr">
        <is>
          <t>Customer 360 — Visits tab</t>
        </is>
      </c>
      <c r="F85" s="52" t="inlineStr">
        <is>
          <t>Visit logged with valet entry</t>
        </is>
      </c>
      <c r="G85" s="57" t="inlineStr">
        <is>
          <t>Full visit history maintained</t>
        </is>
      </c>
      <c r="H85" s="50" t="inlineStr"/>
      <c r="I85" s="53" t="inlineStr"/>
      <c r="J85" s="50" t="inlineStr"/>
    </row>
  </sheetData>
  <mergeCells count="10">
    <mergeCell ref="A1:J1"/>
    <mergeCell ref="A2:J2"/>
    <mergeCell ref="A77:J77"/>
    <mergeCell ref="A7:J7"/>
    <mergeCell ref="A54:J54"/>
    <mergeCell ref="A64:J64"/>
    <mergeCell ref="A60:J60"/>
    <mergeCell ref="A41:J41"/>
    <mergeCell ref="A19:J19"/>
    <mergeCell ref="A49:J4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16: Multi-Branch Operations — Transfer, Branch Sale, Consolidated Reports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Create stock transfer HO → Banjara Hills → in-transit lock → receive at branch → branch POS sale → consolidated branch analytics + multi-branch metal ledger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F16</t>
        </is>
      </c>
      <c r="C3" s="47" t="inlineStr">
        <is>
          <t>Steps</t>
        </is>
      </c>
      <c r="D3" s="48" t="n">
        <v>45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60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SETUP</t>
        </is>
      </c>
      <c r="F5" s="52" t="inlineStr">
        <is>
          <t>Two branches required: Main Store (Branch-HO) and Banjara Hills Branch (Branch-BH). Create both in Company Settings before running this flow.</t>
        </is>
      </c>
      <c r="G5" s="52" t="inlineStr"/>
      <c r="H5" s="50" t="inlineStr"/>
      <c r="I5" s="53" t="inlineStr"/>
      <c r="J5" s="50" t="inlineStr"/>
    </row>
    <row r="6" ht="16" customHeight="1">
      <c r="A6" s="70" t="inlineStr">
        <is>
          <t xml:space="preserve">  ▸  — STOCK TRANSFER FROM HO TO BRANCH —</t>
        </is>
      </c>
      <c r="B6" s="60" t="n"/>
      <c r="C6" s="60" t="n"/>
      <c r="D6" s="60" t="n"/>
      <c r="E6" s="60" t="n"/>
      <c r="F6" s="60" t="n"/>
      <c r="G6" s="60" t="n"/>
      <c r="H6" s="60" t="n"/>
      <c r="I6" s="60" t="n"/>
      <c r="J6" s="61" t="n"/>
    </row>
    <row r="7" ht="18" customHeight="1">
      <c r="A7" s="47" t="n">
        <v>3</v>
      </c>
      <c r="B7" s="50" t="inlineStr">
        <is>
          <t>Item Master</t>
        </is>
      </c>
      <c r="C7" s="50" t="inlineStr">
        <is>
          <t>/gold-erp/items</t>
        </is>
      </c>
      <c r="D7" s="54" t="inlineStr">
        <is>
          <t>NAVIGATE</t>
        </is>
      </c>
      <c r="E7" s="50" t="inlineStr"/>
      <c r="F7" s="52" t="inlineStr"/>
      <c r="G7" s="52" t="inlineStr">
        <is>
          <t>Item master at HO</t>
        </is>
      </c>
      <c r="H7" s="50" t="inlineStr"/>
      <c r="I7" s="53" t="inlineStr"/>
      <c r="J7" s="50" t="inlineStr"/>
    </row>
    <row r="8" ht="32" customHeight="1">
      <c r="A8" s="47" t="n">
        <v>4</v>
      </c>
      <c r="B8" s="50" t="inlineStr">
        <is>
          <t>Item Master</t>
        </is>
      </c>
      <c r="C8" s="50" t="inlineStr">
        <is>
          <t>/gold-erp/items</t>
        </is>
      </c>
      <c r="D8" s="51" t="inlineStr">
        <is>
          <t>ASSERT</t>
        </is>
      </c>
      <c r="E8" s="50" t="inlineStr">
        <is>
          <t>HO Stock</t>
        </is>
      </c>
      <c r="F8" s="52" t="inlineStr">
        <is>
          <t>DT-0055, DT-0056, DT-0057 available at Main Store</t>
        </is>
      </c>
      <c r="G8" s="57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Inventory</t>
        </is>
      </c>
      <c r="C9" s="50" t="inlineStr">
        <is>
          <t>/gold-erp/inventory-transfer</t>
        </is>
      </c>
      <c r="D9" s="55" t="inlineStr">
        <is>
          <t>CLICK</t>
        </is>
      </c>
      <c r="E9" s="50" t="inlineStr">
        <is>
          <t>+ New Stock Transfer</t>
        </is>
      </c>
      <c r="F9" s="52" t="inlineStr"/>
      <c r="G9" s="52" t="inlineStr">
        <is>
          <t>Transfer form opens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Inventory</t>
        </is>
      </c>
      <c r="C10" s="50" t="inlineStr">
        <is>
          <t>/gold-erp/inventory-transfer</t>
        </is>
      </c>
      <c r="D10" s="56" t="inlineStr">
        <is>
          <t>ENTER</t>
        </is>
      </c>
      <c r="E10" s="50" t="inlineStr">
        <is>
          <t>From Branch</t>
        </is>
      </c>
      <c r="F10" s="52" t="inlineStr">
        <is>
          <t>Main Store (HO)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Inventory</t>
        </is>
      </c>
      <c r="C11" s="50" t="inlineStr">
        <is>
          <t>/gold-erp/inventory-transfer</t>
        </is>
      </c>
      <c r="D11" s="56" t="inlineStr">
        <is>
          <t>ENTER</t>
        </is>
      </c>
      <c r="E11" s="50" t="inlineStr">
        <is>
          <t>To Branch</t>
        </is>
      </c>
      <c r="F11" s="52" t="inlineStr">
        <is>
          <t>Banjara Hills Branch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Inventory</t>
        </is>
      </c>
      <c r="C12" s="50" t="inlineStr">
        <is>
          <t>/gold-erp/inventory-transfer</t>
        </is>
      </c>
      <c r="D12" s="56" t="inlineStr">
        <is>
          <t>ENTER</t>
        </is>
      </c>
      <c r="E12" s="50" t="inlineStr">
        <is>
          <t>Items to transfer</t>
        </is>
      </c>
      <c r="F12" s="52" t="inlineStr">
        <is>
          <t>DT-0055, DT-0056</t>
        </is>
      </c>
      <c r="G12" s="52" t="inlineStr">
        <is>
          <t>Scan barcodes</t>
        </is>
      </c>
      <c r="H12" s="50" t="inlineStr"/>
      <c r="I12" s="53" t="inlineStr"/>
      <c r="J12" s="50" t="inlineStr">
        <is>
          <t>Auto-fills: 22K Necklace 15.2gm + 18K Ring 4.55gm</t>
        </is>
      </c>
    </row>
    <row r="13" ht="18" customHeight="1">
      <c r="A13" s="47" t="n">
        <v>9</v>
      </c>
      <c r="B13" s="50" t="inlineStr">
        <is>
          <t>Inventory</t>
        </is>
      </c>
      <c r="C13" s="50" t="inlineStr">
        <is>
          <t>/gold-erp/inventory-transfer</t>
        </is>
      </c>
      <c r="D13" s="51" t="inlineStr">
        <is>
          <t>ASSERT</t>
        </is>
      </c>
      <c r="E13" s="50" t="inlineStr">
        <is>
          <t>Transfer value (auto)</t>
        </is>
      </c>
      <c r="F13" s="52" t="inlineStr">
        <is>
          <t>₹1,06,150</t>
        </is>
      </c>
      <c r="G13" s="57" t="inlineStr">
        <is>
          <t>Sum of both items at today's rate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Inventory</t>
        </is>
      </c>
      <c r="C14" s="50" t="inlineStr">
        <is>
          <t>/gold-erp/inventory-transfer</t>
        </is>
      </c>
      <c r="D14" s="56" t="inlineStr">
        <is>
          <t>ENTER</t>
        </is>
      </c>
      <c r="E14" s="50" t="inlineStr">
        <is>
          <t>Transit Insurance</t>
        </is>
      </c>
      <c r="F14" s="52" t="inlineStr">
        <is>
          <t>Yes — ₹1,10,000</t>
        </is>
      </c>
      <c r="G14" s="52" t="inlineStr"/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Inventory</t>
        </is>
      </c>
      <c r="C15" s="50" t="inlineStr">
        <is>
          <t>/gold-erp/inventory-transfer</t>
        </is>
      </c>
      <c r="D15" s="56" t="inlineStr">
        <is>
          <t>ENTER</t>
        </is>
      </c>
      <c r="E15" s="50" t="inlineStr">
        <is>
          <t>Vehicle / Courier</t>
        </is>
      </c>
      <c r="F15" s="52" t="inlineStr">
        <is>
          <t>Own vehicle — TRF-VAN-01</t>
        </is>
      </c>
      <c r="G15" s="52" t="inlineStr"/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Inventory</t>
        </is>
      </c>
      <c r="C16" s="50" t="inlineStr">
        <is>
          <t>/gold-erp/inventory-transfer</t>
        </is>
      </c>
      <c r="D16" s="56" t="inlineStr">
        <is>
          <t>ENTER</t>
        </is>
      </c>
      <c r="E16" s="50" t="inlineStr">
        <is>
          <t>e-Way Bill No</t>
        </is>
      </c>
      <c r="F16" s="52" t="inlineStr">
        <is>
          <t>EWB-2024-88412</t>
        </is>
      </c>
      <c r="G16" s="52" t="inlineStr">
        <is>
          <t>For gold movement &gt;₹50,000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Inventory</t>
        </is>
      </c>
      <c r="C17" s="50" t="inlineStr">
        <is>
          <t>/gold-erp/inventory-transfer</t>
        </is>
      </c>
      <c r="D17" s="55" t="inlineStr">
        <is>
          <t>CLICK</t>
        </is>
      </c>
      <c r="E17" s="50" t="inlineStr">
        <is>
          <t>Initiate Transfer</t>
        </is>
      </c>
      <c r="F17" s="52" t="inlineStr"/>
      <c r="G17" s="52" t="inlineStr">
        <is>
          <t>TRNF-2024-0001 created. Status: In Transit.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Inventory</t>
        </is>
      </c>
      <c r="C18" s="50" t="inlineStr">
        <is>
          <t>/gold-erp/inventory-transfer</t>
        </is>
      </c>
      <c r="D18" s="51" t="inlineStr">
        <is>
          <t>ASSERT</t>
        </is>
      </c>
      <c r="E18" s="50" t="inlineStr">
        <is>
          <t>HO Stock — DT-0055</t>
        </is>
      </c>
      <c r="F18" s="52" t="inlineStr">
        <is>
          <t>In Transit — not available at HO</t>
        </is>
      </c>
      <c r="G18" s="57" t="inlineStr">
        <is>
          <t>Cannot sell at HO while in transit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Inventory</t>
        </is>
      </c>
      <c r="C19" s="50" t="inlineStr">
        <is>
          <t>/gold-erp/inventory-transfer</t>
        </is>
      </c>
      <c r="D19" s="51" t="inlineStr">
        <is>
          <t>ASSERT</t>
        </is>
      </c>
      <c r="E19" s="50" t="inlineStr">
        <is>
          <t>Branch Stock — DT-0055</t>
        </is>
      </c>
      <c r="F19" s="52" t="inlineStr">
        <is>
          <t>Not received yet</t>
        </is>
      </c>
      <c r="G19" s="57" t="inlineStr">
        <is>
          <t>Pending receipt at Branch-BH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Inventory</t>
        </is>
      </c>
      <c r="C20" s="50" t="inlineStr">
        <is>
          <t>/gold-erp/inventory-transfer</t>
        </is>
      </c>
      <c r="D20" s="55" t="inlineStr">
        <is>
          <t>CLICK</t>
        </is>
      </c>
      <c r="E20" s="50" t="inlineStr">
        <is>
          <t>Receive Transfer at Branch — TRNF-2024-0001</t>
        </is>
      </c>
      <c r="F20" s="52" t="inlineStr"/>
      <c r="G20" s="52" t="inlineStr">
        <is>
          <t>Receiving form at Banjara Hills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Inventory</t>
        </is>
      </c>
      <c r="C21" s="50" t="inlineStr">
        <is>
          <t>/gold-erp/inventory-transfer</t>
        </is>
      </c>
      <c r="D21" s="56" t="inlineStr">
        <is>
          <t>ENTER</t>
        </is>
      </c>
      <c r="E21" s="50" t="inlineStr">
        <is>
          <t>Items received (scan)</t>
        </is>
      </c>
      <c r="F21" s="52" t="inlineStr">
        <is>
          <t>DT-0055, DT-0056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Inventory</t>
        </is>
      </c>
      <c r="C22" s="50" t="inlineStr">
        <is>
          <t>/gold-erp/inventory-transfer</t>
        </is>
      </c>
      <c r="D22" s="56" t="inlineStr">
        <is>
          <t>ENTER</t>
        </is>
      </c>
      <c r="E22" s="50" t="inlineStr">
        <is>
          <t>Condition</t>
        </is>
      </c>
      <c r="F22" s="52" t="inlineStr">
        <is>
          <t>Good — no damage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Inventory</t>
        </is>
      </c>
      <c r="C23" s="50" t="inlineStr">
        <is>
          <t>/gold-erp/inventory-transfer</t>
        </is>
      </c>
      <c r="D23" s="55" t="inlineStr">
        <is>
          <t>CLICK</t>
        </is>
      </c>
      <c r="E23" s="50" t="inlineStr">
        <is>
          <t>Confirm Receipt</t>
        </is>
      </c>
      <c r="F23" s="52" t="inlineStr"/>
      <c r="G23" s="52" t="inlineStr">
        <is>
          <t>Transfer complete. Stock now at Banjara Hills.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Inventory</t>
        </is>
      </c>
      <c r="C24" s="50" t="inlineStr">
        <is>
          <t>/gold-erp/inventory-transfer</t>
        </is>
      </c>
      <c r="D24" s="51" t="inlineStr">
        <is>
          <t>ASSERT</t>
        </is>
      </c>
      <c r="E24" s="50" t="inlineStr">
        <is>
          <t>Branch-BH Stock</t>
        </is>
      </c>
      <c r="F24" s="52" t="inlineStr">
        <is>
          <t>DT-0055, DT-0056 available</t>
        </is>
      </c>
      <c r="G24" s="57" t="inlineStr">
        <is>
          <t>Available for sale at Banjara Hills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Inventory</t>
        </is>
      </c>
      <c r="C25" s="50" t="inlineStr">
        <is>
          <t>/gold-erp/inventory-transfer</t>
        </is>
      </c>
      <c r="D25" s="51" t="inlineStr">
        <is>
          <t>ASSERT</t>
        </is>
      </c>
      <c r="E25" s="50" t="inlineStr">
        <is>
          <t>HO Stock</t>
        </is>
      </c>
      <c r="F25" s="52" t="inlineStr">
        <is>
          <t>DT-0055, DT-0056 removed</t>
        </is>
      </c>
      <c r="G25" s="57" t="inlineStr">
        <is>
          <t>Correct — no longer at HO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Inventory</t>
        </is>
      </c>
      <c r="C26" s="50" t="inlineStr">
        <is>
          <t>/gold-erp/inventory-transfer</t>
        </is>
      </c>
      <c r="D26" s="51" t="inlineStr">
        <is>
          <t>ASSERT</t>
        </is>
      </c>
      <c r="E26" s="50" t="inlineStr">
        <is>
          <t>Metal Ledger — Branch-BH</t>
        </is>
      </c>
      <c r="F26" s="52" t="inlineStr">
        <is>
          <t>+19.75 gm (DT-0055 + DT-0056)</t>
        </is>
      </c>
      <c r="G26" s="57" t="inlineStr">
        <is>
          <t>Branch ledger updated</t>
        </is>
      </c>
      <c r="H26" s="50" t="inlineStr"/>
      <c r="I26" s="53" t="inlineStr"/>
      <c r="J26" s="50" t="inlineStr"/>
    </row>
    <row r="27" ht="16" customHeight="1">
      <c r="A27" s="70" t="inlineStr">
        <is>
          <t xml:space="preserve">  ▸  — BRANCH SALE &amp; POS —</t>
        </is>
      </c>
      <c r="B27" s="60" t="n"/>
      <c r="C27" s="60" t="n"/>
      <c r="D27" s="60" t="n"/>
      <c r="E27" s="60" t="n"/>
      <c r="F27" s="60" t="n"/>
      <c r="G27" s="60" t="n"/>
      <c r="H27" s="60" t="n"/>
      <c r="I27" s="60" t="n"/>
      <c r="J27" s="61" t="n"/>
    </row>
    <row r="28" ht="18" customHeight="1">
      <c r="A28" s="47" t="n">
        <v>24</v>
      </c>
      <c r="B28" s="50" t="inlineStr">
        <is>
          <t>Jewellery POS (Full)</t>
        </is>
      </c>
      <c r="C28" s="50" t="inlineStr">
        <is>
          <t>/gold-erp/pos</t>
        </is>
      </c>
      <c r="D28" s="51" t="inlineStr">
        <is>
          <t>SETUP</t>
        </is>
      </c>
      <c r="E28" s="50" t="inlineStr">
        <is>
          <t>Switch to Banjara Hills Branch context</t>
        </is>
      </c>
      <c r="F28" s="52" t="inlineStr"/>
      <c r="G28" s="52" t="inlineStr">
        <is>
          <t>Login as branch user or switch branch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Jewellery POS (Full)</t>
        </is>
      </c>
      <c r="C29" s="50" t="inlineStr">
        <is>
          <t>/gold-erp/pos</t>
        </is>
      </c>
      <c r="D29" s="51" t="inlineStr">
        <is>
          <t>ASSERT</t>
        </is>
      </c>
      <c r="E29" s="50" t="inlineStr">
        <is>
          <t>POS shows branch stock</t>
        </is>
      </c>
      <c r="F29" s="52" t="inlineStr">
        <is>
          <t>DT-0055, DT-0056 available</t>
        </is>
      </c>
      <c r="G29" s="57" t="inlineStr">
        <is>
          <t>Branch-specific inventory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Jewellery POS (Full)</t>
        </is>
      </c>
      <c r="C30" s="50" t="inlineStr">
        <is>
          <t>/gold-erp/pos</t>
        </is>
      </c>
      <c r="D30" s="56" t="inlineStr">
        <is>
          <t>ENTER</t>
        </is>
      </c>
      <c r="E30" s="50" t="inlineStr">
        <is>
          <t>Sell DT-0055 at Branch</t>
        </is>
      </c>
      <c r="F30" s="52" t="inlineStr">
        <is>
          <t>Customer: Sunita Rao, 9878787878</t>
        </is>
      </c>
      <c r="G30" s="52" t="inlineStr">
        <is>
          <t>Walk-in at Banjara Hills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Jewellery POS (Full)</t>
        </is>
      </c>
      <c r="C31" s="50" t="inlineStr">
        <is>
          <t>/gold-erp/pos</t>
        </is>
      </c>
      <c r="D31" s="55" t="inlineStr">
        <is>
          <t>CLICK</t>
        </is>
      </c>
      <c r="E31" s="50" t="inlineStr">
        <is>
          <t>Complete Sale</t>
        </is>
      </c>
      <c r="F31" s="52" t="inlineStr"/>
      <c r="G31" s="52" t="inlineStr">
        <is>
          <t>Sale at branch. Invoice from Banjara Hills address.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Jewellery POS (Full)</t>
        </is>
      </c>
      <c r="C32" s="50" t="inlineStr">
        <is>
          <t>/gold-erp/pos</t>
        </is>
      </c>
      <c r="D32" s="51" t="inlineStr">
        <is>
          <t>ASSERT</t>
        </is>
      </c>
      <c r="E32" s="50" t="inlineStr">
        <is>
          <t>Branch-BH metal ledger</t>
        </is>
      </c>
      <c r="F32" s="52" t="inlineStr">
        <is>
          <t>−15.2 gm (DT-0055 sold)</t>
        </is>
      </c>
      <c r="G32" s="57" t="inlineStr"/>
      <c r="H32" s="50" t="inlineStr"/>
      <c r="I32" s="53" t="inlineStr"/>
      <c r="J32" s="50" t="inlineStr"/>
    </row>
    <row r="33" ht="16" customHeight="1">
      <c r="A33" s="70" t="inlineStr">
        <is>
          <t xml:space="preserve">  ▸  — CONSOLIDATED BRANCH REPORTS —</t>
        </is>
      </c>
      <c r="B33" s="60" t="n"/>
      <c r="C33" s="60" t="n"/>
      <c r="D33" s="60" t="n"/>
      <c r="E33" s="60" t="n"/>
      <c r="F33" s="60" t="n"/>
      <c r="G33" s="60" t="n"/>
      <c r="H33" s="60" t="n"/>
      <c r="I33" s="60" t="n"/>
      <c r="J33" s="61" t="n"/>
    </row>
    <row r="34" ht="18" customHeight="1">
      <c r="A34" s="47" t="n">
        <v>30</v>
      </c>
      <c r="B34" s="50" t="inlineStr">
        <is>
          <t>JW Analytics Dashboard</t>
        </is>
      </c>
      <c r="C34" s="50" t="inlineStr">
        <is>
          <t>/gold-erp/analytics</t>
        </is>
      </c>
      <c r="D34" s="54" t="inlineStr">
        <is>
          <t>NAVIGATE</t>
        </is>
      </c>
      <c r="E34" s="50" t="inlineStr"/>
      <c r="F34" s="52" t="inlineStr"/>
      <c r="G34" s="52" t="inlineStr">
        <is>
          <t>Analytics — switch to All Branches view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JW Analytics Dashboard</t>
        </is>
      </c>
      <c r="C35" s="50" t="inlineStr">
        <is>
          <t>/gold-erp/analytics</t>
        </is>
      </c>
      <c r="D35" s="51" t="inlineStr">
        <is>
          <t>ASSERT</t>
        </is>
      </c>
      <c r="E35" s="50" t="inlineStr">
        <is>
          <t>HO stock (gm)</t>
        </is>
      </c>
      <c r="F35" s="52" t="inlineStr">
        <is>
          <t>Remaining HO items</t>
        </is>
      </c>
      <c r="G35" s="57" t="inlineStr"/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JW Analytics Dashboard</t>
        </is>
      </c>
      <c r="C36" s="50" t="inlineStr">
        <is>
          <t>/gold-erp/analytics</t>
        </is>
      </c>
      <c r="D36" s="51" t="inlineStr">
        <is>
          <t>ASSERT</t>
        </is>
      </c>
      <c r="E36" s="50" t="inlineStr">
        <is>
          <t>Branch-BH stock (gm)</t>
        </is>
      </c>
      <c r="F36" s="52" t="inlineStr">
        <is>
          <t>DT-0056 remaining (4.55 gm)</t>
        </is>
      </c>
      <c r="G36" s="57" t="inlineStr">
        <is>
          <t>After sale of DT-0055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JW Analytics Dashboard</t>
        </is>
      </c>
      <c r="C37" s="50" t="inlineStr">
        <is>
          <t>/gold-erp/analytics</t>
        </is>
      </c>
      <c r="D37" s="51" t="inlineStr">
        <is>
          <t>ASSERT</t>
        </is>
      </c>
      <c r="E37" s="50" t="inlineStr">
        <is>
          <t>Total organisation gold</t>
        </is>
      </c>
      <c r="F37" s="52" t="inlineStr">
        <is>
          <t>HO + Branch-BH combined</t>
        </is>
      </c>
      <c r="G37" s="57" t="inlineStr">
        <is>
          <t>Cross-branch consolidation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JW Analytics Dashboard</t>
        </is>
      </c>
      <c r="C38" s="50" t="inlineStr">
        <is>
          <t>/gold-erp/analytics</t>
        </is>
      </c>
      <c r="D38" s="51" t="inlineStr">
        <is>
          <t>ASSERT</t>
        </is>
      </c>
      <c r="E38" s="50" t="inlineStr">
        <is>
          <t>Today's sales — all branches</t>
        </is>
      </c>
      <c r="F38" s="52" t="inlineStr">
        <is>
          <t>HO sales + Branch-BH sale (DT-0055)</t>
        </is>
      </c>
      <c r="G38" s="57" t="inlineStr">
        <is>
          <t>Both branches in one view</t>
        </is>
      </c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JW Analytics Dashboard</t>
        </is>
      </c>
      <c r="C39" s="50" t="inlineStr">
        <is>
          <t>/gold-erp/analytics</t>
        </is>
      </c>
      <c r="D39" s="51" t="inlineStr">
        <is>
          <t>ASSERT</t>
        </is>
      </c>
      <c r="E39" s="50" t="inlineStr">
        <is>
          <t>Branch-wise P&amp;L</t>
        </is>
      </c>
      <c r="F39" s="52" t="inlineStr">
        <is>
          <t>HO vs Banjara Hills separate P&amp;Ls</t>
        </is>
      </c>
      <c r="G39" s="57" t="inlineStr">
        <is>
          <t>Branch profitability visible</t>
        </is>
      </c>
      <c r="H39" s="50" t="inlineStr"/>
      <c r="I39" s="53" t="inlineStr"/>
      <c r="J39" s="50" t="inlineStr"/>
    </row>
    <row r="40" ht="16" customHeight="1">
      <c r="A40" s="70" t="inlineStr">
        <is>
          <t xml:space="preserve">  ▸  — MULTI-BRANCH METAL CONSOLIDATION —</t>
        </is>
      </c>
      <c r="B40" s="60" t="n"/>
      <c r="C40" s="60" t="n"/>
      <c r="D40" s="60" t="n"/>
      <c r="E40" s="60" t="n"/>
      <c r="F40" s="60" t="n"/>
      <c r="G40" s="60" t="n"/>
      <c r="H40" s="60" t="n"/>
      <c r="I40" s="60" t="n"/>
      <c r="J40" s="61" t="n"/>
    </row>
    <row r="41" ht="18" customHeight="1">
      <c r="A41" s="47" t="n">
        <v>37</v>
      </c>
      <c r="B41" s="50" t="inlineStr">
        <is>
          <t>Metal Finance / Accounting</t>
        </is>
      </c>
      <c r="C41" s="50" t="inlineStr">
        <is>
          <t>/gold-erp/metal-finance</t>
        </is>
      </c>
      <c r="D41" s="54" t="inlineStr">
        <is>
          <t>NAVIGATE</t>
        </is>
      </c>
      <c r="E41" s="50" t="inlineStr"/>
      <c r="F41" s="52" t="inlineStr"/>
      <c r="G41" s="52" t="inlineStr">
        <is>
          <t>Metal finance — All Branches</t>
        </is>
      </c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Metal Finance / Accounting</t>
        </is>
      </c>
      <c r="C42" s="50" t="inlineStr">
        <is>
          <t>/gold-erp/metal-finance</t>
        </is>
      </c>
      <c r="D42" s="51" t="inlineStr">
        <is>
          <t>ASSERT</t>
        </is>
      </c>
      <c r="E42" s="50" t="inlineStr">
        <is>
          <t>Consolidated gold balance</t>
        </is>
      </c>
      <c r="F42" s="52">
        <f> HO balance + Branch-BH balance</f>
        <v/>
      </c>
      <c r="G42" s="57" t="inlineStr">
        <is>
          <t>All branches summed</t>
        </is>
      </c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Metal Finance / Accounting</t>
        </is>
      </c>
      <c r="C43" s="50" t="inlineStr">
        <is>
          <t>/gold-erp/metal-finance</t>
        </is>
      </c>
      <c r="D43" s="51" t="inlineStr">
        <is>
          <t>ASSERT</t>
        </is>
      </c>
      <c r="E43" s="50" t="inlineStr">
        <is>
          <t>Inter-branch transfer entries</t>
        </is>
      </c>
      <c r="F43" s="52" t="inlineStr">
        <is>
          <t>TRNF-2024-0001 shown as movement</t>
        </is>
      </c>
      <c r="G43" s="57" t="inlineStr">
        <is>
          <t>Not double-counted in total</t>
        </is>
      </c>
      <c r="H43" s="50" t="inlineStr"/>
      <c r="I43" s="53" t="inlineStr"/>
      <c r="J43" s="50" t="inlineStr">
        <is>
          <t>CRITICAL: verify no double count</t>
        </is>
      </c>
    </row>
    <row r="44" ht="32" customHeight="1">
      <c r="A44" s="47" t="n">
        <v>40</v>
      </c>
      <c r="B44" s="50" t="inlineStr">
        <is>
          <t>Metal Finance / Accounting</t>
        </is>
      </c>
      <c r="C44" s="50" t="inlineStr">
        <is>
          <t>/gold-erp/metal-finance</t>
        </is>
      </c>
      <c r="D44" s="51" t="inlineStr">
        <is>
          <t>ASSERT</t>
        </is>
      </c>
      <c r="E44" s="50" t="inlineStr">
        <is>
          <t>Consolidated unrealised P&amp;L</t>
        </is>
      </c>
      <c r="F44" s="52" t="inlineStr">
        <is>
          <t>All-branch stock × (current rate − avg purchase rate)</t>
        </is>
      </c>
      <c r="G44" s="57" t="inlineStr">
        <is>
          <t>Organisation-wide gold P&amp;L</t>
        </is>
      </c>
      <c r="H44" s="50" t="inlineStr"/>
      <c r="I44" s="53" t="inlineStr"/>
      <c r="J44" s="50" t="inlineStr"/>
    </row>
    <row r="45" ht="16" customHeight="1">
      <c r="A45" s="70" t="inlineStr">
        <is>
          <t xml:space="preserve">  ▸  — LINE-WISE SALES: BRANCH COMPARISON —</t>
        </is>
      </c>
      <c r="B45" s="60" t="n"/>
      <c r="C45" s="60" t="n"/>
      <c r="D45" s="60" t="n"/>
      <c r="E45" s="60" t="n"/>
      <c r="F45" s="60" t="n"/>
      <c r="G45" s="60" t="n"/>
      <c r="H45" s="60" t="n"/>
      <c r="I45" s="60" t="n"/>
      <c r="J45" s="61" t="n"/>
    </row>
    <row r="46" ht="18" customHeight="1">
      <c r="A46" s="47" t="n">
        <v>42</v>
      </c>
      <c r="B46" s="50" t="inlineStr">
        <is>
          <t>Wholesale B2B Order Booking</t>
        </is>
      </c>
      <c r="C46" s="50" t="inlineStr">
        <is>
          <t>/gold-erp/line-inventory</t>
        </is>
      </c>
      <c r="D46" s="54" t="inlineStr">
        <is>
          <t>NAVIGATE</t>
        </is>
      </c>
      <c r="E46" s="50" t="inlineStr"/>
      <c r="F46" s="52" t="inlineStr"/>
      <c r="G46" s="52" t="inlineStr">
        <is>
          <t>Line-wise report — Branch comparison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Wholesale B2B Order Booking</t>
        </is>
      </c>
      <c r="C47" s="50" t="inlineStr">
        <is>
          <t>/gold-erp/line-inventory</t>
        </is>
      </c>
      <c r="D47" s="51" t="inlineStr">
        <is>
          <t>ASSERT</t>
        </is>
      </c>
      <c r="E47" s="50" t="inlineStr">
        <is>
          <t>22K sales — HO</t>
        </is>
      </c>
      <c r="F47" s="52" t="inlineStr">
        <is>
          <t>X pieces from HO</t>
        </is>
      </c>
      <c r="G47" s="57" t="inlineStr"/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Wholesale B2B Order Booking</t>
        </is>
      </c>
      <c r="C48" s="50" t="inlineStr">
        <is>
          <t>/gold-erp/line-inventory</t>
        </is>
      </c>
      <c r="D48" s="51" t="inlineStr">
        <is>
          <t>ASSERT</t>
        </is>
      </c>
      <c r="E48" s="50" t="inlineStr">
        <is>
          <t>22K sales — Banjara Hills</t>
        </is>
      </c>
      <c r="F48" s="52" t="inlineStr">
        <is>
          <t>DT-0055 (1 piece)</t>
        </is>
      </c>
      <c r="G48" s="57" t="inlineStr"/>
      <c r="H48" s="50" t="inlineStr"/>
      <c r="I48" s="53" t="inlineStr"/>
      <c r="J48" s="50" t="inlineStr"/>
    </row>
    <row r="49" ht="18" customHeight="1">
      <c r="A49" s="47" t="n">
        <v>45</v>
      </c>
      <c r="B49" s="50" t="inlineStr">
        <is>
          <t>Wholesale B2B Order Booking</t>
        </is>
      </c>
      <c r="C49" s="50" t="inlineStr">
        <is>
          <t>/gold-erp/line-inventory</t>
        </is>
      </c>
      <c r="D49" s="51" t="inlineStr">
        <is>
          <t>ASSERT</t>
        </is>
      </c>
      <c r="E49" s="50" t="inlineStr">
        <is>
          <t>Total organisation 22K sales</t>
        </is>
      </c>
      <c r="F49" s="52" t="inlineStr">
        <is>
          <t>HO + Branch combined</t>
        </is>
      </c>
      <c r="G49" s="57" t="inlineStr"/>
      <c r="H49" s="50" t="inlineStr"/>
      <c r="I49" s="53" t="inlineStr"/>
      <c r="J49" s="50" t="inlineStr"/>
    </row>
  </sheetData>
  <mergeCells count="7">
    <mergeCell ref="A1:J1"/>
    <mergeCell ref="A45:J45"/>
    <mergeCell ref="A6:J6"/>
    <mergeCell ref="A40:J40"/>
    <mergeCell ref="A27:J27"/>
    <mergeCell ref="A2:J2"/>
    <mergeCell ref="A33:J3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17: Vendor Purchase → GRN → Payment → Sales Invoice → Dispatch → Delivery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Add stone vendor → raise PO → GRN receipt → vendor payment → create sales invoice → dispatch → e-way bill → delivery confirmation → pending payment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F17</t>
        </is>
      </c>
      <c r="C3" s="47" t="inlineStr">
        <is>
          <t>Steps</t>
        </is>
      </c>
      <c r="D3" s="48" t="n">
        <v>67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This flow covers: Vendor/Supplier process → PO → GRN → vendor payment → stock update → sales invoice → packing → dispatch challan → delivery confirmation. Covers standard ERP flows missing from jewellery-specific tests.</t>
        </is>
      </c>
      <c r="F5" s="52" t="inlineStr"/>
      <c r="G5" s="52" t="inlineStr"/>
      <c r="H5" s="50" t="inlineStr"/>
      <c r="I5" s="53" t="inlineStr"/>
      <c r="J5" s="50" t="inlineStr"/>
    </row>
    <row r="6" ht="16" customHeight="1">
      <c r="A6" s="70" t="inlineStr">
        <is>
          <t xml:space="preserve">  ▸  — VENDOR / SUPPLIER PROCESS —</t>
        </is>
      </c>
      <c r="B6" s="60" t="n"/>
      <c r="C6" s="60" t="n"/>
      <c r="D6" s="60" t="n"/>
      <c r="E6" s="60" t="n"/>
      <c r="F6" s="60" t="n"/>
      <c r="G6" s="60" t="n"/>
      <c r="H6" s="60" t="n"/>
      <c r="I6" s="60" t="n"/>
      <c r="J6" s="61" t="n"/>
    </row>
    <row r="7" ht="18" customHeight="1">
      <c r="A7" s="47" t="n">
        <v>3</v>
      </c>
      <c r="B7" s="50" t="inlineStr">
        <is>
          <t>Vendors</t>
        </is>
      </c>
      <c r="C7" s="50" t="inlineStr">
        <is>
          <t>/vendors</t>
        </is>
      </c>
      <c r="D7" s="54" t="inlineStr">
        <is>
          <t>NAVIGATE</t>
        </is>
      </c>
      <c r="E7" s="50" t="inlineStr"/>
      <c r="F7" s="52" t="inlineStr"/>
      <c r="G7" s="52" t="inlineStr">
        <is>
          <t>Vendor list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Vendors</t>
        </is>
      </c>
      <c r="C8" s="50" t="inlineStr">
        <is>
          <t>/vendors</t>
        </is>
      </c>
      <c r="D8" s="55" t="inlineStr">
        <is>
          <t>CLICK</t>
        </is>
      </c>
      <c r="E8" s="50" t="inlineStr">
        <is>
          <t>+ Add Vendor</t>
        </is>
      </c>
      <c r="F8" s="52" t="inlineStr"/>
      <c r="G8" s="52" t="inlineStr">
        <is>
          <t>Vendor form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Vendors</t>
        </is>
      </c>
      <c r="C9" s="50" t="inlineStr">
        <is>
          <t>/vendors</t>
        </is>
      </c>
      <c r="D9" s="56" t="inlineStr">
        <is>
          <t>ENTER</t>
        </is>
      </c>
      <c r="E9" s="50" t="inlineStr">
        <is>
          <t>Vendor Name</t>
        </is>
      </c>
      <c r="F9" s="52" t="inlineStr">
        <is>
          <t>Madhava Stone Traders</t>
        </is>
      </c>
      <c r="G9" s="52" t="inlineStr">
        <is>
          <t>Diamond/stone supplier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Vendors</t>
        </is>
      </c>
      <c r="C10" s="50" t="inlineStr">
        <is>
          <t>/vendors</t>
        </is>
      </c>
      <c r="D10" s="56" t="inlineStr">
        <is>
          <t>ENTER</t>
        </is>
      </c>
      <c r="E10" s="50" t="inlineStr">
        <is>
          <t>GSTIN</t>
        </is>
      </c>
      <c r="F10" s="52" t="inlineStr">
        <is>
          <t>36AACPM5678B1Z3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Vendors</t>
        </is>
      </c>
      <c r="C11" s="50" t="inlineStr">
        <is>
          <t>/vendors</t>
        </is>
      </c>
      <c r="D11" s="56" t="inlineStr">
        <is>
          <t>ENTER</t>
        </is>
      </c>
      <c r="E11" s="50" t="inlineStr">
        <is>
          <t>PAN</t>
        </is>
      </c>
      <c r="F11" s="52" t="inlineStr">
        <is>
          <t>AACPM5678B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Vendors</t>
        </is>
      </c>
      <c r="C12" s="50" t="inlineStr">
        <is>
          <t>/vendors</t>
        </is>
      </c>
      <c r="D12" s="56" t="inlineStr">
        <is>
          <t>ENTER</t>
        </is>
      </c>
      <c r="E12" s="50" t="inlineStr">
        <is>
          <t>Mobile</t>
        </is>
      </c>
      <c r="F12" s="52" t="inlineStr">
        <is>
          <t>9876001122</t>
        </is>
      </c>
      <c r="G12" s="52" t="inlineStr"/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Vendors</t>
        </is>
      </c>
      <c r="C13" s="50" t="inlineStr">
        <is>
          <t>/vendors</t>
        </is>
      </c>
      <c r="D13" s="56" t="inlineStr">
        <is>
          <t>ENTER</t>
        </is>
      </c>
      <c r="E13" s="50" t="inlineStr">
        <is>
          <t>Category</t>
        </is>
      </c>
      <c r="F13" s="52" t="inlineStr">
        <is>
          <t>Stone Supplier (Diamonds)</t>
        </is>
      </c>
      <c r="G13" s="52" t="inlineStr"/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Vendors</t>
        </is>
      </c>
      <c r="C14" s="50" t="inlineStr">
        <is>
          <t>/vendors</t>
        </is>
      </c>
      <c r="D14" s="56" t="inlineStr">
        <is>
          <t>ENTER</t>
        </is>
      </c>
      <c r="E14" s="50" t="inlineStr">
        <is>
          <t>Credit Terms</t>
        </is>
      </c>
      <c r="F14" s="52" t="inlineStr">
        <is>
          <t>30 days</t>
        </is>
      </c>
      <c r="G14" s="52" t="inlineStr"/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Vendors</t>
        </is>
      </c>
      <c r="C15" s="50" t="inlineStr">
        <is>
          <t>/vendors</t>
        </is>
      </c>
      <c r="D15" s="55" t="inlineStr">
        <is>
          <t>CLICK</t>
        </is>
      </c>
      <c r="E15" s="50" t="inlineStr">
        <is>
          <t>Save</t>
        </is>
      </c>
      <c r="F15" s="52" t="inlineStr"/>
      <c r="G15" s="52" t="inlineStr">
        <is>
          <t>Vendor saved. VEN-002 assigned.</t>
        </is>
      </c>
      <c r="H15" s="50" t="inlineStr"/>
      <c r="I15" s="53" t="inlineStr"/>
      <c r="J15" s="50" t="inlineStr"/>
    </row>
    <row r="16" ht="16" customHeight="1">
      <c r="A16" s="70" t="inlineStr">
        <is>
          <t xml:space="preserve">  ▸  — PURCHASE ORDER —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  <c r="J16" s="61" t="n"/>
    </row>
    <row r="17" ht="18" customHeight="1">
      <c r="A17" s="47" t="n">
        <v>13</v>
      </c>
      <c r="B17" s="50" t="inlineStr">
        <is>
          <t>Purchase Orders</t>
        </is>
      </c>
      <c r="C17" s="50" t="inlineStr">
        <is>
          <t>/purchase-orders</t>
        </is>
      </c>
      <c r="D17" s="54" t="inlineStr">
        <is>
          <t>NAVIGATE</t>
        </is>
      </c>
      <c r="E17" s="50" t="inlineStr"/>
      <c r="F17" s="52" t="inlineStr"/>
      <c r="G17" s="52" t="inlineStr">
        <is>
          <t>PO list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Purchase Orders</t>
        </is>
      </c>
      <c r="C18" s="50" t="inlineStr">
        <is>
          <t>/purchase-orders</t>
        </is>
      </c>
      <c r="D18" s="55" t="inlineStr">
        <is>
          <t>CLICK</t>
        </is>
      </c>
      <c r="E18" s="50" t="inlineStr">
        <is>
          <t>+ New PO</t>
        </is>
      </c>
      <c r="F18" s="52" t="inlineStr"/>
      <c r="G18" s="52" t="inlineStr">
        <is>
          <t>PO form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Purchase Orders</t>
        </is>
      </c>
      <c r="C19" s="50" t="inlineStr">
        <is>
          <t>/purchase-orders</t>
        </is>
      </c>
      <c r="D19" s="56" t="inlineStr">
        <is>
          <t>ENTER</t>
        </is>
      </c>
      <c r="E19" s="50" t="inlineStr">
        <is>
          <t>Vendor</t>
        </is>
      </c>
      <c r="F19" s="52" t="inlineStr">
        <is>
          <t>Madhava Stone Traders</t>
        </is>
      </c>
      <c r="G19" s="52" t="inlineStr"/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Purchase Orders</t>
        </is>
      </c>
      <c r="C20" s="50" t="inlineStr">
        <is>
          <t>/purchase-orders</t>
        </is>
      </c>
      <c r="D20" s="56" t="inlineStr">
        <is>
          <t>ENTER</t>
        </is>
      </c>
      <c r="E20" s="50" t="inlineStr">
        <is>
          <t>Item</t>
        </is>
      </c>
      <c r="F20" s="52" t="inlineStr">
        <is>
          <t>Diamond — Round Brilliant 0.15 ct</t>
        </is>
      </c>
      <c r="G20" s="52" t="inlineStr"/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Purchase Orders</t>
        </is>
      </c>
      <c r="C21" s="50" t="inlineStr">
        <is>
          <t>/purchase-orders</t>
        </is>
      </c>
      <c r="D21" s="56" t="inlineStr">
        <is>
          <t>ENTER</t>
        </is>
      </c>
      <c r="E21" s="50" t="inlineStr">
        <is>
          <t>Quantity</t>
        </is>
      </c>
      <c r="F21" s="52" t="inlineStr">
        <is>
          <t>10 pieces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Purchase Orders</t>
        </is>
      </c>
      <c r="C22" s="50" t="inlineStr">
        <is>
          <t>/purchase-orders</t>
        </is>
      </c>
      <c r="D22" s="56" t="inlineStr">
        <is>
          <t>ENTER</t>
        </is>
      </c>
      <c r="E22" s="50" t="inlineStr">
        <is>
          <t>Rate (₹ per piece)</t>
        </is>
      </c>
      <c r="F22" s="52" t="inlineStr">
        <is>
          <t>₹8,500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Purchase Orders</t>
        </is>
      </c>
      <c r="C23" s="50" t="inlineStr">
        <is>
          <t>/purchase-orders</t>
        </is>
      </c>
      <c r="D23" s="51" t="inlineStr">
        <is>
          <t>ASSERT</t>
        </is>
      </c>
      <c r="E23" s="50" t="inlineStr">
        <is>
          <t>PO Value (auto)</t>
        </is>
      </c>
      <c r="F23" s="52" t="inlineStr">
        <is>
          <t>₹85,000</t>
        </is>
      </c>
      <c r="G23" s="57" t="inlineStr">
        <is>
          <t>10 × ₹8,500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Purchase Orders</t>
        </is>
      </c>
      <c r="C24" s="50" t="inlineStr">
        <is>
          <t>/purchase-orders</t>
        </is>
      </c>
      <c r="D24" s="56" t="inlineStr">
        <is>
          <t>ENTER</t>
        </is>
      </c>
      <c r="E24" s="50" t="inlineStr">
        <is>
          <t>GST Rate</t>
        </is>
      </c>
      <c r="F24" s="52" t="inlineStr">
        <is>
          <t>3%</t>
        </is>
      </c>
      <c r="G24" s="52" t="inlineStr">
        <is>
          <t>Gems &amp; jewellery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Purchase Orders</t>
        </is>
      </c>
      <c r="C25" s="50" t="inlineStr">
        <is>
          <t>/purchase-orders</t>
        </is>
      </c>
      <c r="D25" s="51" t="inlineStr">
        <is>
          <t>ASSERT</t>
        </is>
      </c>
      <c r="E25" s="50" t="inlineStr">
        <is>
          <t>Total PO (auto)</t>
        </is>
      </c>
      <c r="F25" s="52" t="inlineStr">
        <is>
          <t>₹87,550</t>
        </is>
      </c>
      <c r="G25" s="57" t="inlineStr">
        <is>
          <t>₹85,000 + ₹2,550 GST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Purchase Orders</t>
        </is>
      </c>
      <c r="C26" s="50" t="inlineStr">
        <is>
          <t>/purchase-orders</t>
        </is>
      </c>
      <c r="D26" s="56" t="inlineStr">
        <is>
          <t>ENTER</t>
        </is>
      </c>
      <c r="E26" s="50" t="inlineStr">
        <is>
          <t>Expected Delivery</t>
        </is>
      </c>
      <c r="F26" s="52" t="inlineStr">
        <is>
          <t>Today + 2 days</t>
        </is>
      </c>
      <c r="G26" s="52" t="inlineStr"/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Purchase Orders</t>
        </is>
      </c>
      <c r="C27" s="50" t="inlineStr">
        <is>
          <t>/purchase-orders</t>
        </is>
      </c>
      <c r="D27" s="55" t="inlineStr">
        <is>
          <t>CLICK</t>
        </is>
      </c>
      <c r="E27" s="50" t="inlineStr">
        <is>
          <t>Save PO</t>
        </is>
      </c>
      <c r="F27" s="52" t="inlineStr"/>
      <c r="G27" s="52" t="inlineStr">
        <is>
          <t>PO-STN-001 created and sent to vendor</t>
        </is>
      </c>
      <c r="H27" s="50" t="inlineStr"/>
      <c r="I27" s="53" t="inlineStr"/>
      <c r="J27" s="50" t="inlineStr"/>
    </row>
    <row r="28" ht="16" customHeight="1">
      <c r="A28" s="70" t="inlineStr">
        <is>
          <t xml:space="preserve">  ▸  — GOODS RECEIPT NOTE (GRN) —</t>
        </is>
      </c>
      <c r="B28" s="60" t="n"/>
      <c r="C28" s="60" t="n"/>
      <c r="D28" s="60" t="n"/>
      <c r="E28" s="60" t="n"/>
      <c r="F28" s="60" t="n"/>
      <c r="G28" s="60" t="n"/>
      <c r="H28" s="60" t="n"/>
      <c r="I28" s="60" t="n"/>
      <c r="J28" s="61" t="n"/>
    </row>
    <row r="29" ht="18" customHeight="1">
      <c r="A29" s="47" t="n">
        <v>25</v>
      </c>
      <c r="B29" s="50" t="inlineStr">
        <is>
          <t>Goods Receipt Notes (GRN)</t>
        </is>
      </c>
      <c r="C29" s="50" t="inlineStr">
        <is>
          <t>/goods-receipt-notes</t>
        </is>
      </c>
      <c r="D29" s="54" t="inlineStr">
        <is>
          <t>NAVIGATE</t>
        </is>
      </c>
      <c r="E29" s="50" t="inlineStr"/>
      <c r="F29" s="52" t="inlineStr"/>
      <c r="G29" s="52" t="inlineStr">
        <is>
          <t>GRN list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Goods Receipt Notes (GRN)</t>
        </is>
      </c>
      <c r="C30" s="50" t="inlineStr">
        <is>
          <t>/goods-receipt-notes</t>
        </is>
      </c>
      <c r="D30" s="55" t="inlineStr">
        <is>
          <t>CLICK</t>
        </is>
      </c>
      <c r="E30" s="50" t="inlineStr">
        <is>
          <t>+ Create GRN</t>
        </is>
      </c>
      <c r="F30" s="52" t="inlineStr"/>
      <c r="G30" s="52" t="inlineStr">
        <is>
          <t>GRN form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Goods Receipt Notes (GRN)</t>
        </is>
      </c>
      <c r="C31" s="50" t="inlineStr">
        <is>
          <t>/goods-receipt-notes</t>
        </is>
      </c>
      <c r="D31" s="56" t="inlineStr">
        <is>
          <t>ENTER</t>
        </is>
      </c>
      <c r="E31" s="50" t="inlineStr">
        <is>
          <t>Purchase Order</t>
        </is>
      </c>
      <c r="F31" s="52" t="inlineStr">
        <is>
          <t>PO-STN-001</t>
        </is>
      </c>
      <c r="G31" s="52" t="inlineStr"/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Goods Receipt Notes (GRN)</t>
        </is>
      </c>
      <c r="C32" s="50" t="inlineStr">
        <is>
          <t>/goods-receipt-notes</t>
        </is>
      </c>
      <c r="D32" s="56" t="inlineStr">
        <is>
          <t>ENTER</t>
        </is>
      </c>
      <c r="E32" s="50" t="inlineStr">
        <is>
          <t>Quantity Received</t>
        </is>
      </c>
      <c r="F32" s="52" t="inlineStr">
        <is>
          <t>10 pieces</t>
        </is>
      </c>
      <c r="G32" s="52" t="inlineStr">
        <is>
          <t>Full order received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Goods Receipt Notes (GRN)</t>
        </is>
      </c>
      <c r="C33" s="50" t="inlineStr">
        <is>
          <t>/goods-receipt-notes</t>
        </is>
      </c>
      <c r="D33" s="56" t="inlineStr">
        <is>
          <t>ENTER</t>
        </is>
      </c>
      <c r="E33" s="50" t="inlineStr">
        <is>
          <t>Condition</t>
        </is>
      </c>
      <c r="F33" s="52" t="inlineStr">
        <is>
          <t>Good — no damage</t>
        </is>
      </c>
      <c r="G33" s="52" t="inlineStr"/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Goods Receipt Notes (GRN)</t>
        </is>
      </c>
      <c r="C34" s="50" t="inlineStr">
        <is>
          <t>/goods-receipt-notes</t>
        </is>
      </c>
      <c r="D34" s="56" t="inlineStr">
        <is>
          <t>ENTER</t>
        </is>
      </c>
      <c r="E34" s="50" t="inlineStr">
        <is>
          <t>Supplier Invoice No</t>
        </is>
      </c>
      <c r="F34" s="52" t="inlineStr">
        <is>
          <t>MST-INV-2024-445</t>
        </is>
      </c>
      <c r="G34" s="52" t="inlineStr"/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Goods Receipt Notes (GRN)</t>
        </is>
      </c>
      <c r="C35" s="50" t="inlineStr">
        <is>
          <t>/goods-receipt-notes</t>
        </is>
      </c>
      <c r="D35" s="56" t="inlineStr">
        <is>
          <t>ENTER</t>
        </is>
      </c>
      <c r="E35" s="50" t="inlineStr">
        <is>
          <t>Supplier Invoice Date</t>
        </is>
      </c>
      <c r="F35" s="52" t="inlineStr">
        <is>
          <t>Today</t>
        </is>
      </c>
      <c r="G35" s="52" t="inlineStr"/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Goods Receipt Notes (GRN)</t>
        </is>
      </c>
      <c r="C36" s="50" t="inlineStr">
        <is>
          <t>/goods-receipt-notes</t>
        </is>
      </c>
      <c r="D36" s="55" t="inlineStr">
        <is>
          <t>CLICK</t>
        </is>
      </c>
      <c r="E36" s="50" t="inlineStr">
        <is>
          <t>Save GRN</t>
        </is>
      </c>
      <c r="F36" s="52" t="inlineStr"/>
      <c r="G36" s="52" t="inlineStr">
        <is>
          <t>GRN-001 created. Stock updated: +10 diamonds.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Goods Receipt Notes (GRN)</t>
        </is>
      </c>
      <c r="C37" s="50" t="inlineStr">
        <is>
          <t>/goods-receipt-notes</t>
        </is>
      </c>
      <c r="D37" s="51" t="inlineStr">
        <is>
          <t>ASSERT</t>
        </is>
      </c>
      <c r="E37" s="50" t="inlineStr">
        <is>
          <t>Stock update</t>
        </is>
      </c>
      <c r="F37" s="52" t="inlineStr">
        <is>
          <t>10 diamonds added to inventory</t>
        </is>
      </c>
      <c r="G37" s="57" t="inlineStr">
        <is>
          <t>Immediately available for production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Goods Receipt Notes (GRN)</t>
        </is>
      </c>
      <c r="C38" s="50" t="inlineStr">
        <is>
          <t>/goods-receipt-notes</t>
        </is>
      </c>
      <c r="D38" s="51" t="inlineStr">
        <is>
          <t>ASSERT</t>
        </is>
      </c>
      <c r="E38" s="50" t="inlineStr">
        <is>
          <t>Purchase ledger entry</t>
        </is>
      </c>
      <c r="F38" s="52" t="inlineStr">
        <is>
          <t>₹87,550 payable to Madhava Stone Traders</t>
        </is>
      </c>
      <c r="G38" s="57" t="inlineStr">
        <is>
          <t>Accounting entry created</t>
        </is>
      </c>
      <c r="H38" s="50" t="inlineStr"/>
      <c r="I38" s="53" t="inlineStr"/>
      <c r="J38" s="50" t="inlineStr"/>
    </row>
    <row r="39" ht="16" customHeight="1">
      <c r="A39" s="70" t="inlineStr">
        <is>
          <t xml:space="preserve">  ▸  — VENDOR PAYMENT —</t>
        </is>
      </c>
      <c r="B39" s="60" t="n"/>
      <c r="C39" s="60" t="n"/>
      <c r="D39" s="60" t="n"/>
      <c r="E39" s="60" t="n"/>
      <c r="F39" s="60" t="n"/>
      <c r="G39" s="60" t="n"/>
      <c r="H39" s="60" t="n"/>
      <c r="I39" s="60" t="n"/>
      <c r="J39" s="61" t="n"/>
    </row>
    <row r="40" ht="18" customHeight="1">
      <c r="A40" s="47" t="n">
        <v>36</v>
      </c>
      <c r="B40" s="50" t="inlineStr">
        <is>
          <t>Vendors</t>
        </is>
      </c>
      <c r="C40" s="50" t="inlineStr">
        <is>
          <t>/vendors</t>
        </is>
      </c>
      <c r="D40" s="55" t="inlineStr">
        <is>
          <t>CLICK</t>
        </is>
      </c>
      <c r="E40" s="50" t="inlineStr">
        <is>
          <t>Record Payment — VEN-002</t>
        </is>
      </c>
      <c r="F40" s="52" t="inlineStr"/>
      <c r="G40" s="52" t="inlineStr">
        <is>
          <t>Payment form</t>
        </is>
      </c>
      <c r="H40" s="50" t="inlineStr"/>
      <c r="I40" s="53" t="inlineStr"/>
      <c r="J40" s="50" t="inlineStr"/>
    </row>
    <row r="41" ht="18" customHeight="1">
      <c r="A41" s="47" t="n">
        <v>37</v>
      </c>
      <c r="B41" s="50" t="inlineStr">
        <is>
          <t>Vendors</t>
        </is>
      </c>
      <c r="C41" s="50" t="inlineStr">
        <is>
          <t>/vendors</t>
        </is>
      </c>
      <c r="D41" s="56" t="inlineStr">
        <is>
          <t>ENTER</t>
        </is>
      </c>
      <c r="E41" s="50" t="inlineStr">
        <is>
          <t>Invoice</t>
        </is>
      </c>
      <c r="F41" s="52" t="inlineStr">
        <is>
          <t>MST-INV-2024-445</t>
        </is>
      </c>
      <c r="G41" s="52" t="inlineStr"/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Vendors</t>
        </is>
      </c>
      <c r="C42" s="50" t="inlineStr">
        <is>
          <t>/vendors</t>
        </is>
      </c>
      <c r="D42" s="56" t="inlineStr">
        <is>
          <t>ENTER</t>
        </is>
      </c>
      <c r="E42" s="50" t="inlineStr">
        <is>
          <t>Amount</t>
        </is>
      </c>
      <c r="F42" s="52" t="inlineStr">
        <is>
          <t>₹87,550</t>
        </is>
      </c>
      <c r="G42" s="52" t="inlineStr">
        <is>
          <t>Full payment</t>
        </is>
      </c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Vendors</t>
        </is>
      </c>
      <c r="C43" s="50" t="inlineStr">
        <is>
          <t>/vendors</t>
        </is>
      </c>
      <c r="D43" s="56" t="inlineStr">
        <is>
          <t>ENTER</t>
        </is>
      </c>
      <c r="E43" s="50" t="inlineStr">
        <is>
          <t>Payment Mode</t>
        </is>
      </c>
      <c r="F43" s="52" t="inlineStr">
        <is>
          <t>RTGS</t>
        </is>
      </c>
      <c r="G43" s="52" t="inlineStr"/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Vendors</t>
        </is>
      </c>
      <c r="C44" s="50" t="inlineStr">
        <is>
          <t>/vendors</t>
        </is>
      </c>
      <c r="D44" s="56" t="inlineStr">
        <is>
          <t>ENTER</t>
        </is>
      </c>
      <c r="E44" s="50" t="inlineStr">
        <is>
          <t>UTR No</t>
        </is>
      </c>
      <c r="F44" s="52" t="inlineStr">
        <is>
          <t>RTGS20241122004455</t>
        </is>
      </c>
      <c r="G44" s="52" t="inlineStr"/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Vendors</t>
        </is>
      </c>
      <c r="C45" s="50" t="inlineStr">
        <is>
          <t>/vendors</t>
        </is>
      </c>
      <c r="D45" s="56" t="inlineStr">
        <is>
          <t>ENTER</t>
        </is>
      </c>
      <c r="E45" s="50" t="inlineStr">
        <is>
          <t>Payment Date</t>
        </is>
      </c>
      <c r="F45" s="52" t="inlineStr">
        <is>
          <t>Today</t>
        </is>
      </c>
      <c r="G45" s="52" t="inlineStr"/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Vendors</t>
        </is>
      </c>
      <c r="C46" s="50" t="inlineStr">
        <is>
          <t>/vendors</t>
        </is>
      </c>
      <c r="D46" s="55" t="inlineStr">
        <is>
          <t>CLICK</t>
        </is>
      </c>
      <c r="E46" s="50" t="inlineStr">
        <is>
          <t>Save Payment</t>
        </is>
      </c>
      <c r="F46" s="52" t="inlineStr"/>
      <c r="G46" s="52" t="inlineStr">
        <is>
          <t>Payment recorded. Vendor outstanding: ₹0.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Vendors</t>
        </is>
      </c>
      <c r="C47" s="50" t="inlineStr">
        <is>
          <t>/vendors</t>
        </is>
      </c>
      <c r="D47" s="51" t="inlineStr">
        <is>
          <t>ASSERT</t>
        </is>
      </c>
      <c r="E47" s="50" t="inlineStr">
        <is>
          <t>Vendor outstanding balance</t>
        </is>
      </c>
      <c r="F47" s="52" t="inlineStr">
        <is>
          <t>₹0</t>
        </is>
      </c>
      <c r="G47" s="57" t="inlineStr">
        <is>
          <t>Fully paid</t>
        </is>
      </c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Vendors</t>
        </is>
      </c>
      <c r="C48" s="50" t="inlineStr">
        <is>
          <t>/vendors</t>
        </is>
      </c>
      <c r="D48" s="51" t="inlineStr">
        <is>
          <t>ASSERT</t>
        </is>
      </c>
      <c r="E48" s="50" t="inlineStr">
        <is>
          <t>Vendor debit note (if quality issue)</t>
        </is>
      </c>
      <c r="F48" s="52" t="inlineStr">
        <is>
          <t>N/A — no issues this order</t>
        </is>
      </c>
      <c r="G48" s="57" t="inlineStr">
        <is>
          <t>Quality accepted</t>
        </is>
      </c>
      <c r="H48" s="50" t="inlineStr"/>
      <c r="I48" s="53" t="inlineStr"/>
      <c r="J48" s="50" t="inlineStr"/>
    </row>
    <row r="49" ht="16" customHeight="1">
      <c r="A49" s="70" t="inlineStr">
        <is>
          <t xml:space="preserve">  ▸  — SALES INVOICE + DISPATCH + DELIVERY —</t>
        </is>
      </c>
      <c r="B49" s="60" t="n"/>
      <c r="C49" s="60" t="n"/>
      <c r="D49" s="60" t="n"/>
      <c r="E49" s="60" t="n"/>
      <c r="F49" s="60" t="n"/>
      <c r="G49" s="60" t="n"/>
      <c r="H49" s="60" t="n"/>
      <c r="I49" s="60" t="n"/>
      <c r="J49" s="61" t="n"/>
    </row>
    <row r="50" ht="18" customHeight="1">
      <c r="A50" s="47" t="n">
        <v>46</v>
      </c>
      <c r="B50" s="50" t="inlineStr">
        <is>
          <t>Invoices</t>
        </is>
      </c>
      <c r="C50" s="50" t="inlineStr">
        <is>
          <t>/invoices</t>
        </is>
      </c>
      <c r="D50" s="54" t="inlineStr">
        <is>
          <t>NAVIGATE</t>
        </is>
      </c>
      <c r="E50" s="50" t="inlineStr"/>
      <c r="F50" s="52" t="inlineStr"/>
      <c r="G50" s="52" t="inlineStr">
        <is>
          <t>Invoices list</t>
        </is>
      </c>
      <c r="H50" s="50" t="inlineStr"/>
      <c r="I50" s="53" t="inlineStr"/>
      <c r="J50" s="50" t="inlineStr"/>
    </row>
    <row r="51" ht="18" customHeight="1">
      <c r="A51" s="47" t="n">
        <v>47</v>
      </c>
      <c r="B51" s="50" t="inlineStr">
        <is>
          <t>Invoices</t>
        </is>
      </c>
      <c r="C51" s="50" t="inlineStr">
        <is>
          <t>/invoices</t>
        </is>
      </c>
      <c r="D51" s="55" t="inlineStr">
        <is>
          <t>CLICK</t>
        </is>
      </c>
      <c r="E51" s="50" t="inlineStr">
        <is>
          <t>+ New Invoice</t>
        </is>
      </c>
      <c r="F51" s="52" t="inlineStr"/>
      <c r="G51" s="52" t="inlineStr">
        <is>
          <t>Invoice form</t>
        </is>
      </c>
      <c r="H51" s="50" t="inlineStr"/>
      <c r="I51" s="53" t="inlineStr"/>
      <c r="J51" s="50" t="inlineStr"/>
    </row>
    <row r="52" ht="18" customHeight="1">
      <c r="A52" s="47" t="n">
        <v>48</v>
      </c>
      <c r="B52" s="50" t="inlineStr">
        <is>
          <t>Invoices</t>
        </is>
      </c>
      <c r="C52" s="50" t="inlineStr">
        <is>
          <t>/invoices</t>
        </is>
      </c>
      <c r="D52" s="56" t="inlineStr">
        <is>
          <t>ENTER</t>
        </is>
      </c>
      <c r="E52" s="50" t="inlineStr">
        <is>
          <t>Customer</t>
        </is>
      </c>
      <c r="F52" s="52" t="inlineStr">
        <is>
          <t>Priya Jewellers — 36AAACP1234A1Z5</t>
        </is>
      </c>
      <c r="G52" s="52" t="inlineStr">
        <is>
          <t>Wholesale customer</t>
        </is>
      </c>
      <c r="H52" s="50" t="inlineStr"/>
      <c r="I52" s="53" t="inlineStr"/>
      <c r="J52" s="50" t="inlineStr"/>
    </row>
    <row r="53" ht="32" customHeight="1">
      <c r="A53" s="47" t="n">
        <v>49</v>
      </c>
      <c r="B53" s="50" t="inlineStr">
        <is>
          <t>Invoices</t>
        </is>
      </c>
      <c r="C53" s="50" t="inlineStr">
        <is>
          <t>/invoices</t>
        </is>
      </c>
      <c r="D53" s="56" t="inlineStr">
        <is>
          <t>ENTER</t>
        </is>
      </c>
      <c r="E53" s="50" t="inlineStr">
        <is>
          <t>Items</t>
        </is>
      </c>
      <c r="F53" s="52" t="inlineStr">
        <is>
          <t>DT-0057 — 22K Necklace 15.5gm, DT-0058 — 22K Earrings 6.8gm</t>
        </is>
      </c>
      <c r="G53" s="52" t="inlineStr">
        <is>
          <t>2 items</t>
        </is>
      </c>
      <c r="H53" s="50" t="inlineStr"/>
      <c r="I53" s="53" t="inlineStr"/>
      <c r="J53" s="50" t="inlineStr"/>
    </row>
    <row r="54" ht="18" customHeight="1">
      <c r="A54" s="47" t="n">
        <v>50</v>
      </c>
      <c r="B54" s="50" t="inlineStr">
        <is>
          <t>Invoices</t>
        </is>
      </c>
      <c r="C54" s="50" t="inlineStr">
        <is>
          <t>/invoices</t>
        </is>
      </c>
      <c r="D54" s="51" t="inlineStr">
        <is>
          <t>ASSERT</t>
        </is>
      </c>
      <c r="E54" s="50" t="inlineStr">
        <is>
          <t>Gold value (auto)</t>
        </is>
      </c>
      <c r="F54" s="52" t="inlineStr">
        <is>
          <t>Based on today's rate</t>
        </is>
      </c>
      <c r="G54" s="57" t="inlineStr">
        <is>
          <t>Live calculation</t>
        </is>
      </c>
      <c r="H54" s="50" t="inlineStr"/>
      <c r="I54" s="53" t="inlineStr"/>
      <c r="J54" s="50" t="inlineStr"/>
    </row>
    <row r="55" ht="18" customHeight="1">
      <c r="A55" s="47" t="n">
        <v>51</v>
      </c>
      <c r="B55" s="50" t="inlineStr">
        <is>
          <t>Invoices</t>
        </is>
      </c>
      <c r="C55" s="50" t="inlineStr">
        <is>
          <t>/invoices</t>
        </is>
      </c>
      <c r="D55" s="51" t="inlineStr">
        <is>
          <t>ASSERT</t>
        </is>
      </c>
      <c r="E55" s="50" t="inlineStr">
        <is>
          <t>GST (auto)</t>
        </is>
      </c>
      <c r="F55" s="52" t="inlineStr">
        <is>
          <t>3% on gold + 5% on making</t>
        </is>
      </c>
      <c r="G55" s="57" t="inlineStr">
        <is>
          <t>Jewellery GST split</t>
        </is>
      </c>
      <c r="H55" s="50" t="inlineStr"/>
      <c r="I55" s="53" t="inlineStr"/>
      <c r="J55" s="50" t="inlineStr"/>
    </row>
    <row r="56" ht="18" customHeight="1">
      <c r="A56" s="47" t="n">
        <v>52</v>
      </c>
      <c r="B56" s="50" t="inlineStr">
        <is>
          <t>Invoices</t>
        </is>
      </c>
      <c r="C56" s="50" t="inlineStr">
        <is>
          <t>/invoices</t>
        </is>
      </c>
      <c r="D56" s="55" t="inlineStr">
        <is>
          <t>CLICK</t>
        </is>
      </c>
      <c r="E56" s="50" t="inlineStr">
        <is>
          <t>Save Invoice</t>
        </is>
      </c>
      <c r="F56" s="52" t="inlineStr"/>
      <c r="G56" s="52" t="inlineStr">
        <is>
          <t>INV-2024-0015 created</t>
        </is>
      </c>
      <c r="H56" s="50" t="inlineStr"/>
      <c r="I56" s="53" t="inlineStr"/>
      <c r="J56" s="50" t="inlineStr"/>
    </row>
    <row r="57" ht="18" customHeight="1">
      <c r="A57" s="47" t="n">
        <v>53</v>
      </c>
      <c r="B57" s="50" t="inlineStr">
        <is>
          <t>Dispatch Tracking</t>
        </is>
      </c>
      <c r="C57" s="50" t="inlineStr">
        <is>
          <t>/dispatch-tracking</t>
        </is>
      </c>
      <c r="D57" s="54" t="inlineStr">
        <is>
          <t>NAVIGATE</t>
        </is>
      </c>
      <c r="E57" s="50" t="inlineStr"/>
      <c r="F57" s="52" t="inlineStr"/>
      <c r="G57" s="52" t="inlineStr">
        <is>
          <t>Dispatch tracking</t>
        </is>
      </c>
      <c r="H57" s="50" t="inlineStr"/>
      <c r="I57" s="53" t="inlineStr"/>
      <c r="J57" s="50" t="inlineStr"/>
    </row>
    <row r="58" ht="18" customHeight="1">
      <c r="A58" s="47" t="n">
        <v>54</v>
      </c>
      <c r="B58" s="50" t="inlineStr">
        <is>
          <t>Dispatch Tracking</t>
        </is>
      </c>
      <c r="C58" s="50" t="inlineStr">
        <is>
          <t>/dispatch-tracking</t>
        </is>
      </c>
      <c r="D58" s="55" t="inlineStr">
        <is>
          <t>CLICK</t>
        </is>
      </c>
      <c r="E58" s="50" t="inlineStr">
        <is>
          <t>+ Create Dispatch</t>
        </is>
      </c>
      <c r="F58" s="52" t="inlineStr"/>
      <c r="G58" s="52" t="inlineStr">
        <is>
          <t>Dispatch form</t>
        </is>
      </c>
      <c r="H58" s="50" t="inlineStr"/>
      <c r="I58" s="53" t="inlineStr"/>
      <c r="J58" s="50" t="inlineStr"/>
    </row>
    <row r="59" ht="18" customHeight="1">
      <c r="A59" s="47" t="n">
        <v>55</v>
      </c>
      <c r="B59" s="50" t="inlineStr">
        <is>
          <t>Dispatch Tracking</t>
        </is>
      </c>
      <c r="C59" s="50" t="inlineStr">
        <is>
          <t>/dispatch-tracking</t>
        </is>
      </c>
      <c r="D59" s="56" t="inlineStr">
        <is>
          <t>ENTER</t>
        </is>
      </c>
      <c r="E59" s="50" t="inlineStr">
        <is>
          <t>Invoice</t>
        </is>
      </c>
      <c r="F59" s="52" t="inlineStr">
        <is>
          <t>INV-2024-0015</t>
        </is>
      </c>
      <c r="G59" s="52" t="inlineStr"/>
      <c r="H59" s="50" t="inlineStr"/>
      <c r="I59" s="53" t="inlineStr"/>
      <c r="J59" s="50" t="inlineStr"/>
    </row>
    <row r="60" ht="18" customHeight="1">
      <c r="A60" s="47" t="n">
        <v>56</v>
      </c>
      <c r="B60" s="50" t="inlineStr">
        <is>
          <t>Dispatch Tracking</t>
        </is>
      </c>
      <c r="C60" s="50" t="inlineStr">
        <is>
          <t>/dispatch-tracking</t>
        </is>
      </c>
      <c r="D60" s="56" t="inlineStr">
        <is>
          <t>ENTER</t>
        </is>
      </c>
      <c r="E60" s="50" t="inlineStr">
        <is>
          <t>Vehicle No</t>
        </is>
      </c>
      <c r="F60" s="52" t="inlineStr">
        <is>
          <t>TS09CD5678</t>
        </is>
      </c>
      <c r="G60" s="52" t="inlineStr"/>
      <c r="H60" s="50" t="inlineStr"/>
      <c r="I60" s="53" t="inlineStr"/>
      <c r="J60" s="50" t="inlineStr"/>
    </row>
    <row r="61" ht="18" customHeight="1">
      <c r="A61" s="47" t="n">
        <v>57</v>
      </c>
      <c r="B61" s="50" t="inlineStr">
        <is>
          <t>Dispatch Tracking</t>
        </is>
      </c>
      <c r="C61" s="50" t="inlineStr">
        <is>
          <t>/dispatch-tracking</t>
        </is>
      </c>
      <c r="D61" s="56" t="inlineStr">
        <is>
          <t>ENTER</t>
        </is>
      </c>
      <c r="E61" s="50" t="inlineStr">
        <is>
          <t>Driver</t>
        </is>
      </c>
      <c r="F61" s="52" t="inlineStr">
        <is>
          <t>Ramesh — 9001234567</t>
        </is>
      </c>
      <c r="G61" s="52" t="inlineStr"/>
      <c r="H61" s="50" t="inlineStr"/>
      <c r="I61" s="53" t="inlineStr"/>
      <c r="J61" s="50" t="inlineStr"/>
    </row>
    <row r="62" ht="18" customHeight="1">
      <c r="A62" s="47" t="n">
        <v>58</v>
      </c>
      <c r="B62" s="50" t="inlineStr">
        <is>
          <t>Dispatch Tracking</t>
        </is>
      </c>
      <c r="C62" s="50" t="inlineStr">
        <is>
          <t>/dispatch-tracking</t>
        </is>
      </c>
      <c r="D62" s="56" t="inlineStr">
        <is>
          <t>ENTER</t>
        </is>
      </c>
      <c r="E62" s="50" t="inlineStr">
        <is>
          <t>Courier / Method</t>
        </is>
      </c>
      <c r="F62" s="52" t="inlineStr">
        <is>
          <t>Own vehicle</t>
        </is>
      </c>
      <c r="G62" s="52" t="inlineStr"/>
      <c r="H62" s="50" t="inlineStr"/>
      <c r="I62" s="53" t="inlineStr"/>
      <c r="J62" s="50" t="inlineStr"/>
    </row>
    <row r="63" ht="18" customHeight="1">
      <c r="A63" s="47" t="n">
        <v>59</v>
      </c>
      <c r="B63" s="50" t="inlineStr">
        <is>
          <t>Dispatch Tracking</t>
        </is>
      </c>
      <c r="C63" s="50" t="inlineStr">
        <is>
          <t>/dispatch-tracking</t>
        </is>
      </c>
      <c r="D63" s="56" t="inlineStr">
        <is>
          <t>ENTER</t>
        </is>
      </c>
      <c r="E63" s="50" t="inlineStr">
        <is>
          <t>e-Way Bill No</t>
        </is>
      </c>
      <c r="F63" s="52" t="inlineStr">
        <is>
          <t>EWB-2024-99234</t>
        </is>
      </c>
      <c r="G63" s="52" t="inlineStr">
        <is>
          <t>Gold value &gt;₹50,000</t>
        </is>
      </c>
      <c r="H63" s="50" t="inlineStr"/>
      <c r="I63" s="53" t="inlineStr"/>
      <c r="J63" s="50" t="inlineStr"/>
    </row>
    <row r="64" ht="18" customHeight="1">
      <c r="A64" s="47" t="n">
        <v>60</v>
      </c>
      <c r="B64" s="50" t="inlineStr">
        <is>
          <t>Dispatch Tracking</t>
        </is>
      </c>
      <c r="C64" s="50" t="inlineStr">
        <is>
          <t>/dispatch-tracking</t>
        </is>
      </c>
      <c r="D64" s="56" t="inlineStr">
        <is>
          <t>ENTER</t>
        </is>
      </c>
      <c r="E64" s="50" t="inlineStr">
        <is>
          <t>Expected Delivery</t>
        </is>
      </c>
      <c r="F64" s="52" t="inlineStr">
        <is>
          <t>Today + 1 day</t>
        </is>
      </c>
      <c r="G64" s="52" t="inlineStr"/>
      <c r="H64" s="50" t="inlineStr"/>
      <c r="I64" s="53" t="inlineStr"/>
      <c r="J64" s="50" t="inlineStr"/>
    </row>
    <row r="65" ht="18" customHeight="1">
      <c r="A65" s="47" t="n">
        <v>61</v>
      </c>
      <c r="B65" s="50" t="inlineStr">
        <is>
          <t>Dispatch Tracking</t>
        </is>
      </c>
      <c r="C65" s="50" t="inlineStr">
        <is>
          <t>/dispatch-tracking</t>
        </is>
      </c>
      <c r="D65" s="55" t="inlineStr">
        <is>
          <t>CLICK</t>
        </is>
      </c>
      <c r="E65" s="50" t="inlineStr">
        <is>
          <t>Dispatch</t>
        </is>
      </c>
      <c r="F65" s="52" t="inlineStr"/>
      <c r="G65" s="52" t="inlineStr">
        <is>
          <t>Dispatched. Status: In Transit. WhatsApp to Priya Jewellers.</t>
        </is>
      </c>
      <c r="H65" s="50" t="inlineStr"/>
      <c r="I65" s="53" t="inlineStr"/>
      <c r="J65" s="50" t="inlineStr"/>
    </row>
    <row r="66" ht="32" customHeight="1">
      <c r="A66" s="47" t="n">
        <v>62</v>
      </c>
      <c r="B66" s="50" t="inlineStr">
        <is>
          <t>Dispatch Tracking</t>
        </is>
      </c>
      <c r="C66" s="50" t="inlineStr">
        <is>
          <t>/dispatch-tracking</t>
        </is>
      </c>
      <c r="D66" s="51" t="inlineStr">
        <is>
          <t>ASSERT</t>
        </is>
      </c>
      <c r="E66" s="50" t="inlineStr">
        <is>
          <t>Dispatch notification</t>
        </is>
      </c>
      <c r="F66" s="52" t="inlineStr">
        <is>
          <t>WhatsApp to 9887654321: Invoice INV-2024-0015 dispatched</t>
        </is>
      </c>
      <c r="G66" s="57" t="inlineStr">
        <is>
          <t>Auto-triggered</t>
        </is>
      </c>
      <c r="H66" s="50" t="inlineStr"/>
      <c r="I66" s="53" t="inlineStr"/>
      <c r="J66" s="50" t="inlineStr"/>
    </row>
    <row r="67" ht="18" customHeight="1">
      <c r="A67" s="47" t="n">
        <v>63</v>
      </c>
      <c r="B67" s="50" t="inlineStr">
        <is>
          <t>Dispatch Tracking</t>
        </is>
      </c>
      <c r="C67" s="50" t="inlineStr">
        <is>
          <t>/dispatch-tracking</t>
        </is>
      </c>
      <c r="D67" s="55" t="inlineStr">
        <is>
          <t>CLICK</t>
        </is>
      </c>
      <c r="E67" s="50" t="inlineStr">
        <is>
          <t>Mark Delivered — INV-2024-0015</t>
        </is>
      </c>
      <c r="F67" s="52" t="inlineStr"/>
      <c r="G67" s="52" t="inlineStr"/>
      <c r="H67" s="50" t="inlineStr"/>
      <c r="I67" s="53" t="inlineStr"/>
      <c r="J67" s="50" t="inlineStr"/>
    </row>
    <row r="68" ht="18" customHeight="1">
      <c r="A68" s="47" t="n">
        <v>64</v>
      </c>
      <c r="B68" s="50" t="inlineStr">
        <is>
          <t>Dispatch Tracking</t>
        </is>
      </c>
      <c r="C68" s="50" t="inlineStr">
        <is>
          <t>/dispatch-tracking</t>
        </is>
      </c>
      <c r="D68" s="56" t="inlineStr">
        <is>
          <t>ENTER</t>
        </is>
      </c>
      <c r="E68" s="50" t="inlineStr">
        <is>
          <t>Delivered to</t>
        </is>
      </c>
      <c r="F68" s="52" t="inlineStr">
        <is>
          <t>Priya Sharma</t>
        </is>
      </c>
      <c r="G68" s="52" t="inlineStr">
        <is>
          <t>Recipient name</t>
        </is>
      </c>
      <c r="H68" s="50" t="inlineStr"/>
      <c r="I68" s="53" t="inlineStr"/>
      <c r="J68" s="50" t="inlineStr"/>
    </row>
    <row r="69" ht="18" customHeight="1">
      <c r="A69" s="47" t="n">
        <v>65</v>
      </c>
      <c r="B69" s="50" t="inlineStr">
        <is>
          <t>Dispatch Tracking</t>
        </is>
      </c>
      <c r="C69" s="50" t="inlineStr">
        <is>
          <t>/dispatch-tracking</t>
        </is>
      </c>
      <c r="D69" s="56" t="inlineStr">
        <is>
          <t>ENTER</t>
        </is>
      </c>
      <c r="E69" s="50" t="inlineStr">
        <is>
          <t>Delivery Date</t>
        </is>
      </c>
      <c r="F69" s="52" t="inlineStr">
        <is>
          <t>Today + 1 day</t>
        </is>
      </c>
      <c r="G69" s="52" t="inlineStr"/>
      <c r="H69" s="50" t="inlineStr"/>
      <c r="I69" s="53" t="inlineStr"/>
      <c r="J69" s="50" t="inlineStr"/>
    </row>
    <row r="70" ht="18" customHeight="1">
      <c r="A70" s="47" t="n">
        <v>66</v>
      </c>
      <c r="B70" s="50" t="inlineStr">
        <is>
          <t>Dispatch Tracking</t>
        </is>
      </c>
      <c r="C70" s="50" t="inlineStr">
        <is>
          <t>/dispatch-tracking</t>
        </is>
      </c>
      <c r="D70" s="51" t="inlineStr">
        <is>
          <t>ASSERT</t>
        </is>
      </c>
      <c r="E70" s="50" t="inlineStr">
        <is>
          <t>Invoice status</t>
        </is>
      </c>
      <c r="F70" s="52" t="inlineStr">
        <is>
          <t>Delivered</t>
        </is>
      </c>
      <c r="G70" s="57" t="inlineStr"/>
      <c r="H70" s="50" t="inlineStr"/>
      <c r="I70" s="53" t="inlineStr"/>
      <c r="J70" s="50" t="inlineStr"/>
    </row>
    <row r="71" ht="18" customHeight="1">
      <c r="A71" s="47" t="n">
        <v>67</v>
      </c>
      <c r="B71" s="50" t="inlineStr">
        <is>
          <t>Pending Payments</t>
        </is>
      </c>
      <c r="C71" s="50" t="inlineStr">
        <is>
          <t>/pending-payments</t>
        </is>
      </c>
      <c r="D71" s="51" t="inlineStr">
        <is>
          <t>ASSERT</t>
        </is>
      </c>
      <c r="E71" s="50" t="inlineStr">
        <is>
          <t>INV-2024-0015 in pending payments</t>
        </is>
      </c>
      <c r="F71" s="52" t="inlineStr">
        <is>
          <t>Amount due from Priya Jewellers</t>
        </is>
      </c>
      <c r="G71" s="57" t="inlineStr">
        <is>
          <t>Payment not yet received</t>
        </is>
      </c>
      <c r="H71" s="50" t="inlineStr"/>
      <c r="I71" s="53" t="inlineStr"/>
      <c r="J71" s="50" t="inlineStr"/>
    </row>
  </sheetData>
  <mergeCells count="7">
    <mergeCell ref="A1:J1"/>
    <mergeCell ref="A6:J6"/>
    <mergeCell ref="A2:J2"/>
    <mergeCell ref="A39:J39"/>
    <mergeCell ref="A16:J16"/>
    <mergeCell ref="A28:J28"/>
    <mergeCell ref="A49:J4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18: HRMS Full Flow — Onboarding → Attendance → Payroll → Statutory → ESS → Appraisal → Recruitment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1" t="n"/>
    </row>
    <row r="2" ht="16" customHeight="1">
      <c r="A2" s="46" t="inlineStr">
        <is>
          <t>Add karigar → shift roster → attendance → leave application → monthly payroll run → PF/ESI compliance → loan recovery → expense claim → appraisal → ESS portal → recruitment → HR helpdesk</t>
        </is>
      </c>
      <c r="B2" s="60" t="n"/>
      <c r="C2" s="60" t="n"/>
      <c r="D2" s="60" t="n"/>
      <c r="E2" s="60" t="n"/>
      <c r="F2" s="60" t="n"/>
      <c r="G2" s="60" t="n"/>
      <c r="H2" s="60" t="n"/>
      <c r="I2" s="60" t="n"/>
      <c r="J2" s="61" t="n"/>
    </row>
    <row r="3" ht="18" customHeight="1">
      <c r="A3" s="47" t="inlineStr">
        <is>
          <t>Flow</t>
        </is>
      </c>
      <c r="B3" s="48" t="inlineStr">
        <is>
          <t>F18</t>
        </is>
      </c>
      <c r="C3" s="47" t="inlineStr">
        <is>
          <t>Steps</t>
        </is>
      </c>
      <c r="D3" s="48" t="n">
        <v>104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SIONIQ HRMS covers: Employee Management, Attendance, Leave, Shift &amp; Roster, Payroll, Statutory Compliance, ESS, Loans &amp; Advances, Travel &amp; Expense Claims, Performance Appraisal, Recruitment, Onboarding, Exit, Helpdesk. All covered in this flow.</t>
        </is>
      </c>
      <c r="F5" s="52" t="inlineStr"/>
      <c r="G5" s="52" t="inlineStr"/>
      <c r="H5" s="50" t="inlineStr"/>
      <c r="I5" s="53" t="inlineStr"/>
      <c r="J5" s="50" t="inlineStr"/>
    </row>
    <row r="6" ht="16" customHeight="1">
      <c r="A6" s="70" t="inlineStr">
        <is>
          <t xml:space="preserve">  ▸  — EMPLOYEE ONBOARDING —</t>
        </is>
      </c>
      <c r="B6" s="60" t="n"/>
      <c r="C6" s="60" t="n"/>
      <c r="D6" s="60" t="n"/>
      <c r="E6" s="60" t="n"/>
      <c r="F6" s="60" t="n"/>
      <c r="G6" s="60" t="n"/>
      <c r="H6" s="60" t="n"/>
      <c r="I6" s="60" t="n"/>
      <c r="J6" s="61" t="n"/>
    </row>
    <row r="7" ht="18" customHeight="1">
      <c r="A7" s="47" t="n">
        <v>3</v>
      </c>
      <c r="B7" s="50" t="inlineStr">
        <is>
          <t>Employees</t>
        </is>
      </c>
      <c r="C7" s="50" t="inlineStr">
        <is>
          <t>/hr/employees</t>
        </is>
      </c>
      <c r="D7" s="54" t="inlineStr">
        <is>
          <t>NAVIGATE</t>
        </is>
      </c>
      <c r="E7" s="50" t="inlineStr"/>
      <c r="F7" s="52" t="inlineStr"/>
      <c r="G7" s="52" t="inlineStr">
        <is>
          <t>HR employees list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Employees</t>
        </is>
      </c>
      <c r="C8" s="50" t="inlineStr">
        <is>
          <t>/hr/employees</t>
        </is>
      </c>
      <c r="D8" s="55" t="inlineStr">
        <is>
          <t>CLICK</t>
        </is>
      </c>
      <c r="E8" s="50" t="inlineStr">
        <is>
          <t>+ Add Employee</t>
        </is>
      </c>
      <c r="F8" s="52" t="inlineStr"/>
      <c r="G8" s="52" t="inlineStr">
        <is>
          <t>Employee form — Onboarding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Employees</t>
        </is>
      </c>
      <c r="C9" s="50" t="inlineStr">
        <is>
          <t>/hr/employees</t>
        </is>
      </c>
      <c r="D9" s="56" t="inlineStr">
        <is>
          <t>ENTER</t>
        </is>
      </c>
      <c r="E9" s="50" t="inlineStr">
        <is>
          <t>Name</t>
        </is>
      </c>
      <c r="F9" s="52" t="inlineStr">
        <is>
          <t>Raju Goldsmith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Employees</t>
        </is>
      </c>
      <c r="C10" s="50" t="inlineStr">
        <is>
          <t>/hr/employees</t>
        </is>
      </c>
      <c r="D10" s="56" t="inlineStr">
        <is>
          <t>ENTER</t>
        </is>
      </c>
      <c r="E10" s="50" t="inlineStr">
        <is>
          <t>Employee ID</t>
        </is>
      </c>
      <c r="F10" s="52" t="inlineStr">
        <is>
          <t>EMP-001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Employees</t>
        </is>
      </c>
      <c r="C11" s="50" t="inlineStr">
        <is>
          <t>/hr/employees</t>
        </is>
      </c>
      <c r="D11" s="56" t="inlineStr">
        <is>
          <t>ENTER</t>
        </is>
      </c>
      <c r="E11" s="50" t="inlineStr">
        <is>
          <t>Designation</t>
        </is>
      </c>
      <c r="F11" s="52" t="inlineStr">
        <is>
          <t>Senior Karigar — Goldsmith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Employees</t>
        </is>
      </c>
      <c r="C12" s="50" t="inlineStr">
        <is>
          <t>/hr/employees</t>
        </is>
      </c>
      <c r="D12" s="56" t="inlineStr">
        <is>
          <t>ENTER</t>
        </is>
      </c>
      <c r="E12" s="50" t="inlineStr">
        <is>
          <t>Department</t>
        </is>
      </c>
      <c r="F12" s="52" t="inlineStr">
        <is>
          <t>Production</t>
        </is>
      </c>
      <c r="G12" s="52" t="inlineStr"/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Employees</t>
        </is>
      </c>
      <c r="C13" s="50" t="inlineStr">
        <is>
          <t>/hr/employees</t>
        </is>
      </c>
      <c r="D13" s="56" t="inlineStr">
        <is>
          <t>ENTER</t>
        </is>
      </c>
      <c r="E13" s="50" t="inlineStr">
        <is>
          <t>Date of Joining</t>
        </is>
      </c>
      <c r="F13" s="52" t="inlineStr">
        <is>
          <t>01-Jan-2024</t>
        </is>
      </c>
      <c r="G13" s="52" t="inlineStr"/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Employees</t>
        </is>
      </c>
      <c r="C14" s="50" t="inlineStr">
        <is>
          <t>/hr/employees</t>
        </is>
      </c>
      <c r="D14" s="56" t="inlineStr">
        <is>
          <t>ENTER</t>
        </is>
      </c>
      <c r="E14" s="50" t="inlineStr">
        <is>
          <t>Mobile</t>
        </is>
      </c>
      <c r="F14" s="52" t="inlineStr">
        <is>
          <t>9876543210</t>
        </is>
      </c>
      <c r="G14" s="52" t="inlineStr"/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Employees</t>
        </is>
      </c>
      <c r="C15" s="50" t="inlineStr">
        <is>
          <t>/hr/employees</t>
        </is>
      </c>
      <c r="D15" s="56" t="inlineStr">
        <is>
          <t>ENTER</t>
        </is>
      </c>
      <c r="E15" s="50" t="inlineStr">
        <is>
          <t>Aadhaar</t>
        </is>
      </c>
      <c r="F15" s="52" t="inlineStr">
        <is>
          <t>2345 6789 0123</t>
        </is>
      </c>
      <c r="G15" s="52" t="inlineStr"/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Employees</t>
        </is>
      </c>
      <c r="C16" s="50" t="inlineStr">
        <is>
          <t>/hr/employees</t>
        </is>
      </c>
      <c r="D16" s="56" t="inlineStr">
        <is>
          <t>ENTER</t>
        </is>
      </c>
      <c r="E16" s="50" t="inlineStr">
        <is>
          <t>PAN</t>
        </is>
      </c>
      <c r="F16" s="52" t="inlineStr">
        <is>
          <t>AAARZ1234A</t>
        </is>
      </c>
      <c r="G16" s="52" t="inlineStr"/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Employees</t>
        </is>
      </c>
      <c r="C17" s="50" t="inlineStr">
        <is>
          <t>/hr/employees</t>
        </is>
      </c>
      <c r="D17" s="56" t="inlineStr">
        <is>
          <t>ENTER</t>
        </is>
      </c>
      <c r="E17" s="50" t="inlineStr">
        <is>
          <t>Bank Account</t>
        </is>
      </c>
      <c r="F17" s="52" t="inlineStr">
        <is>
          <t>9876543210 / HDFC0001234</t>
        </is>
      </c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Employees</t>
        </is>
      </c>
      <c r="C18" s="50" t="inlineStr">
        <is>
          <t>/hr/employees</t>
        </is>
      </c>
      <c r="D18" s="56" t="inlineStr">
        <is>
          <t>ENTER</t>
        </is>
      </c>
      <c r="E18" s="50" t="inlineStr">
        <is>
          <t>Daily Wage Rate</t>
        </is>
      </c>
      <c r="F18" s="52" t="inlineStr">
        <is>
          <t>₹800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Employees</t>
        </is>
      </c>
      <c r="C19" s="50" t="inlineStr">
        <is>
          <t>/hr/employees</t>
        </is>
      </c>
      <c r="D19" s="56" t="inlineStr">
        <is>
          <t>ENTER</t>
        </is>
      </c>
      <c r="E19" s="50" t="inlineStr">
        <is>
          <t>PF applicable</t>
        </is>
      </c>
      <c r="F19" s="52" t="inlineStr">
        <is>
          <t>Yes</t>
        </is>
      </c>
      <c r="G19" s="52" t="inlineStr">
        <is>
          <t>12% employee + 12% employer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Employees</t>
        </is>
      </c>
      <c r="C20" s="50" t="inlineStr">
        <is>
          <t>/hr/employees</t>
        </is>
      </c>
      <c r="D20" s="56" t="inlineStr">
        <is>
          <t>ENTER</t>
        </is>
      </c>
      <c r="E20" s="50" t="inlineStr">
        <is>
          <t>ESI applicable</t>
        </is>
      </c>
      <c r="F20" s="52" t="inlineStr">
        <is>
          <t>Yes</t>
        </is>
      </c>
      <c r="G20" s="52" t="inlineStr">
        <is>
          <t>Employee wages ≤ ₹21,000/month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Employees</t>
        </is>
      </c>
      <c r="C21" s="50" t="inlineStr">
        <is>
          <t>/hr/employees</t>
        </is>
      </c>
      <c r="D21" s="55" t="inlineStr">
        <is>
          <t>CLICK</t>
        </is>
      </c>
      <c r="E21" s="50" t="inlineStr">
        <is>
          <t>Save + Start Onboarding</t>
        </is>
      </c>
      <c r="F21" s="52" t="inlineStr"/>
      <c r="G21" s="52" t="inlineStr">
        <is>
          <t>EMP-001 created. Onboarding checklist triggered.</t>
        </is>
      </c>
      <c r="H21" s="50" t="inlineStr"/>
      <c r="I21" s="53" t="inlineStr"/>
      <c r="J21" s="50" t="inlineStr"/>
    </row>
    <row r="22" ht="32" customHeight="1">
      <c r="A22" s="47" t="n">
        <v>18</v>
      </c>
      <c r="B22" s="50" t="inlineStr">
        <is>
          <t>Employees</t>
        </is>
      </c>
      <c r="C22" s="50" t="inlineStr">
        <is>
          <t>/hr/employees</t>
        </is>
      </c>
      <c r="D22" s="51" t="inlineStr">
        <is>
          <t>ASSERT</t>
        </is>
      </c>
      <c r="E22" s="50" t="inlineStr">
        <is>
          <t>Onboarding checklist</t>
        </is>
      </c>
      <c r="F22" s="52" t="inlineStr">
        <is>
          <t>Document collection, ID card, locker assignment — pending items listed</t>
        </is>
      </c>
      <c r="G22" s="57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Employees</t>
        </is>
      </c>
      <c r="C23" s="50" t="inlineStr">
        <is>
          <t>/hr/employees</t>
        </is>
      </c>
      <c r="D23" s="55" t="inlineStr">
        <is>
          <t>CLICK</t>
        </is>
      </c>
      <c r="E23" s="50" t="inlineStr">
        <is>
          <t>Mark Onboarding Complete</t>
        </is>
      </c>
      <c r="F23" s="52" t="inlineStr"/>
      <c r="G23" s="52" t="inlineStr">
        <is>
          <t>Employee active</t>
        </is>
      </c>
      <c r="H23" s="50" t="inlineStr"/>
      <c r="I23" s="53" t="inlineStr"/>
      <c r="J23" s="50" t="inlineStr"/>
    </row>
    <row r="24" ht="16" customHeight="1">
      <c r="A24" s="70" t="inlineStr">
        <is>
          <t xml:space="preserve">  ▸  — ATTENDANCE &amp; SHIFT ROSTER —</t>
        </is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1" t="n"/>
    </row>
    <row r="25" ht="18" customHeight="1">
      <c r="A25" s="47" t="n">
        <v>21</v>
      </c>
      <c r="B25" s="50" t="inlineStr">
        <is>
          <t>Attendance</t>
        </is>
      </c>
      <c r="C25" s="50" t="inlineStr">
        <is>
          <t>/hr/attendance</t>
        </is>
      </c>
      <c r="D25" s="54" t="inlineStr">
        <is>
          <t>NAVIGATE</t>
        </is>
      </c>
      <c r="E25" s="50" t="inlineStr"/>
      <c r="F25" s="52" t="inlineStr"/>
      <c r="G25" s="52" t="inlineStr">
        <is>
          <t>Attendance screen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Attendance</t>
        </is>
      </c>
      <c r="C26" s="50" t="inlineStr">
        <is>
          <t>/hr/attendance</t>
        </is>
      </c>
      <c r="D26" s="56" t="inlineStr">
        <is>
          <t>ENTER</t>
        </is>
      </c>
      <c r="E26" s="50" t="inlineStr">
        <is>
          <t>Shift Plan — Raju (January 2024)</t>
        </is>
      </c>
      <c r="F26" s="52" t="inlineStr">
        <is>
          <t>Morning shift (9am-6pm) all working days</t>
        </is>
      </c>
      <c r="G26" s="52" t="inlineStr"/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Attendance</t>
        </is>
      </c>
      <c r="C27" s="50" t="inlineStr">
        <is>
          <t>/hr/attendance</t>
        </is>
      </c>
      <c r="D27" s="56" t="inlineStr">
        <is>
          <t>ENTER</t>
        </is>
      </c>
      <c r="E27" s="50" t="inlineStr">
        <is>
          <t>Week 1 (Jan 1-6)</t>
        </is>
      </c>
      <c r="F27" s="52" t="inlineStr">
        <is>
          <t>All Present</t>
        </is>
      </c>
      <c r="G27" s="52" t="inlineStr">
        <is>
          <t>Mark via bulk entry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Attendance</t>
        </is>
      </c>
      <c r="C28" s="50" t="inlineStr">
        <is>
          <t>/hr/attendance</t>
        </is>
      </c>
      <c r="D28" s="56" t="inlineStr">
        <is>
          <t>ENTER</t>
        </is>
      </c>
      <c r="E28" s="50" t="inlineStr">
        <is>
          <t>Jan 8 (Monday)</t>
        </is>
      </c>
      <c r="F28" s="52" t="inlineStr">
        <is>
          <t>Absent</t>
        </is>
      </c>
      <c r="G28" s="52" t="inlineStr"/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Attendance</t>
        </is>
      </c>
      <c r="C29" s="50" t="inlineStr">
        <is>
          <t>/hr/attendance</t>
        </is>
      </c>
      <c r="D29" s="56" t="inlineStr">
        <is>
          <t>ENTER</t>
        </is>
      </c>
      <c r="E29" s="50" t="inlineStr">
        <is>
          <t>Week 2-4</t>
        </is>
      </c>
      <c r="F29" s="52" t="inlineStr">
        <is>
          <t>All Present (excluding Sundays)</t>
        </is>
      </c>
      <c r="G29" s="52" t="inlineStr">
        <is>
          <t>22 working days present + 1 absent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Attendance</t>
        </is>
      </c>
      <c r="C30" s="50" t="inlineStr">
        <is>
          <t>/hr/attendance</t>
        </is>
      </c>
      <c r="D30" s="51" t="inlineStr">
        <is>
          <t>ASSERT</t>
        </is>
      </c>
      <c r="E30" s="50" t="inlineStr">
        <is>
          <t>January total</t>
        </is>
      </c>
      <c r="F30" s="52" t="inlineStr">
        <is>
          <t>25 days present, 1 absent</t>
        </is>
      </c>
      <c r="G30" s="57" t="inlineStr">
        <is>
          <t>25 working days in January</t>
        </is>
      </c>
      <c r="H30" s="50" t="inlineStr"/>
      <c r="I30" s="53" t="inlineStr"/>
      <c r="J30" s="50" t="inlineStr"/>
    </row>
    <row r="31" ht="16" customHeight="1">
      <c r="A31" s="70" t="inlineStr">
        <is>
          <t xml:space="preserve">  ▸  — LEAVE MANAGEMENT —</t>
        </is>
      </c>
      <c r="B31" s="60" t="n"/>
      <c r="C31" s="60" t="n"/>
      <c r="D31" s="60" t="n"/>
      <c r="E31" s="60" t="n"/>
      <c r="F31" s="60" t="n"/>
      <c r="G31" s="60" t="n"/>
      <c r="H31" s="60" t="n"/>
      <c r="I31" s="60" t="n"/>
      <c r="J31" s="61" t="n"/>
    </row>
    <row r="32" ht="18" customHeight="1">
      <c r="A32" s="47" t="n">
        <v>28</v>
      </c>
      <c r="B32" s="50" t="inlineStr">
        <is>
          <t>Leave Management</t>
        </is>
      </c>
      <c r="C32" s="50" t="inlineStr">
        <is>
          <t>/hr/leaves</t>
        </is>
      </c>
      <c r="D32" s="54" t="inlineStr">
        <is>
          <t>NAVIGATE</t>
        </is>
      </c>
      <c r="E32" s="50" t="inlineStr"/>
      <c r="F32" s="52" t="inlineStr"/>
      <c r="G32" s="52" t="inlineStr">
        <is>
          <t>Leave management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Leave Management</t>
        </is>
      </c>
      <c r="C33" s="50" t="inlineStr">
        <is>
          <t>/hr/leaves</t>
        </is>
      </c>
      <c r="D33" s="55" t="inlineStr">
        <is>
          <t>CLICK</t>
        </is>
      </c>
      <c r="E33" s="50" t="inlineStr">
        <is>
          <t>+ Apply Leave — Raju Goldsmith</t>
        </is>
      </c>
      <c r="F33" s="52" t="inlineStr"/>
      <c r="G33" s="52" t="inlineStr">
        <is>
          <t>Leave application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Leave Management</t>
        </is>
      </c>
      <c r="C34" s="50" t="inlineStr">
        <is>
          <t>/hr/leaves</t>
        </is>
      </c>
      <c r="D34" s="56" t="inlineStr">
        <is>
          <t>ENTER</t>
        </is>
      </c>
      <c r="E34" s="50" t="inlineStr">
        <is>
          <t>Leave Type</t>
        </is>
      </c>
      <c r="F34" s="52" t="inlineStr">
        <is>
          <t>Casual Leave</t>
        </is>
      </c>
      <c r="G34" s="52" t="inlineStr"/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Leave Management</t>
        </is>
      </c>
      <c r="C35" s="50" t="inlineStr">
        <is>
          <t>/hr/leaves</t>
        </is>
      </c>
      <c r="D35" s="56" t="inlineStr">
        <is>
          <t>ENTER</t>
        </is>
      </c>
      <c r="E35" s="50" t="inlineStr">
        <is>
          <t>From Date</t>
        </is>
      </c>
      <c r="F35" s="52" t="inlineStr">
        <is>
          <t>15-Feb-2024</t>
        </is>
      </c>
      <c r="G35" s="52" t="inlineStr"/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Leave Management</t>
        </is>
      </c>
      <c r="C36" s="50" t="inlineStr">
        <is>
          <t>/hr/leaves</t>
        </is>
      </c>
      <c r="D36" s="56" t="inlineStr">
        <is>
          <t>ENTER</t>
        </is>
      </c>
      <c r="E36" s="50" t="inlineStr">
        <is>
          <t>To Date</t>
        </is>
      </c>
      <c r="F36" s="52" t="inlineStr">
        <is>
          <t>16-Feb-2024</t>
        </is>
      </c>
      <c r="G36" s="52" t="inlineStr">
        <is>
          <t>2 days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Leave Management</t>
        </is>
      </c>
      <c r="C37" s="50" t="inlineStr">
        <is>
          <t>/hr/leaves</t>
        </is>
      </c>
      <c r="D37" s="56" t="inlineStr">
        <is>
          <t>ENTER</t>
        </is>
      </c>
      <c r="E37" s="50" t="inlineStr">
        <is>
          <t>Reason</t>
        </is>
      </c>
      <c r="F37" s="52" t="inlineStr">
        <is>
          <t>Personal work</t>
        </is>
      </c>
      <c r="G37" s="52" t="inlineStr"/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Leave Management</t>
        </is>
      </c>
      <c r="C38" s="50" t="inlineStr">
        <is>
          <t>/hr/leaves</t>
        </is>
      </c>
      <c r="D38" s="55" t="inlineStr">
        <is>
          <t>CLICK</t>
        </is>
      </c>
      <c r="E38" s="50" t="inlineStr">
        <is>
          <t>Submit</t>
        </is>
      </c>
      <c r="F38" s="52" t="inlineStr"/>
      <c r="G38" s="52" t="inlineStr">
        <is>
          <t>Leave application submitted for approval</t>
        </is>
      </c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Leave Management</t>
        </is>
      </c>
      <c r="C39" s="50" t="inlineStr">
        <is>
          <t>/hr/leaves</t>
        </is>
      </c>
      <c r="D39" s="55" t="inlineStr">
        <is>
          <t>CLICK</t>
        </is>
      </c>
      <c r="E39" s="50" t="inlineStr">
        <is>
          <t>Approve Leave — Raju (Manager approval)</t>
        </is>
      </c>
      <c r="F39" s="52" t="inlineStr"/>
      <c r="G39" s="52" t="inlineStr">
        <is>
          <t>Leave approved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Leave Management</t>
        </is>
      </c>
      <c r="C40" s="50" t="inlineStr">
        <is>
          <t>/hr/leaves</t>
        </is>
      </c>
      <c r="D40" s="51" t="inlineStr">
        <is>
          <t>ASSERT</t>
        </is>
      </c>
      <c r="E40" s="50" t="inlineStr">
        <is>
          <t>Leave balance update</t>
        </is>
      </c>
      <c r="F40" s="52" t="inlineStr">
        <is>
          <t>Casual Leave: −2 days</t>
        </is>
      </c>
      <c r="G40" s="57" t="inlineStr">
        <is>
          <t>Balance updated automatically</t>
        </is>
      </c>
      <c r="H40" s="50" t="inlineStr"/>
      <c r="I40" s="53" t="inlineStr"/>
      <c r="J40" s="50" t="inlineStr"/>
    </row>
    <row r="41" ht="16" customHeight="1">
      <c r="A41" s="70" t="inlineStr">
        <is>
          <t xml:space="preserve">  ▸  — MONTHLY PAYROLL RUN —</t>
        </is>
      </c>
      <c r="B41" s="60" t="n"/>
      <c r="C41" s="60" t="n"/>
      <c r="D41" s="60" t="n"/>
      <c r="E41" s="60" t="n"/>
      <c r="F41" s="60" t="n"/>
      <c r="G41" s="60" t="n"/>
      <c r="H41" s="60" t="n"/>
      <c r="I41" s="60" t="n"/>
      <c r="J41" s="61" t="n"/>
    </row>
    <row r="42" ht="18" customHeight="1">
      <c r="A42" s="47" t="n">
        <v>38</v>
      </c>
      <c r="B42" s="50" t="inlineStr">
        <is>
          <t>Payroll</t>
        </is>
      </c>
      <c r="C42" s="50" t="inlineStr">
        <is>
          <t>/hr/payroll</t>
        </is>
      </c>
      <c r="D42" s="54" t="inlineStr">
        <is>
          <t>NAVIGATE</t>
        </is>
      </c>
      <c r="E42" s="50" t="inlineStr"/>
      <c r="F42" s="52" t="inlineStr"/>
      <c r="G42" s="52" t="inlineStr">
        <is>
          <t>Payroll screen</t>
        </is>
      </c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Payroll</t>
        </is>
      </c>
      <c r="C43" s="50" t="inlineStr">
        <is>
          <t>/hr/payroll</t>
        </is>
      </c>
      <c r="D43" s="55" t="inlineStr">
        <is>
          <t>CLICK</t>
        </is>
      </c>
      <c r="E43" s="50" t="inlineStr">
        <is>
          <t>+ Run Payroll — January 2024</t>
        </is>
      </c>
      <c r="F43" s="52" t="inlineStr"/>
      <c r="G43" s="52" t="inlineStr">
        <is>
          <t>Payroll run form</t>
        </is>
      </c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Payroll</t>
        </is>
      </c>
      <c r="C44" s="50" t="inlineStr">
        <is>
          <t>/hr/payroll</t>
        </is>
      </c>
      <c r="D44" s="56" t="inlineStr">
        <is>
          <t>ENTER</t>
        </is>
      </c>
      <c r="E44" s="50" t="inlineStr">
        <is>
          <t>Month</t>
        </is>
      </c>
      <c r="F44" s="52" t="inlineStr">
        <is>
          <t>January 2024</t>
        </is>
      </c>
      <c r="G44" s="52" t="inlineStr"/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Payroll</t>
        </is>
      </c>
      <c r="C45" s="50" t="inlineStr">
        <is>
          <t>/hr/payroll</t>
        </is>
      </c>
      <c r="D45" s="56" t="inlineStr">
        <is>
          <t>ENTER</t>
        </is>
      </c>
      <c r="E45" s="50" t="inlineStr">
        <is>
          <t>Employees</t>
        </is>
      </c>
      <c r="F45" s="52" t="inlineStr">
        <is>
          <t>All Production Karigars</t>
        </is>
      </c>
      <c r="G45" s="52" t="inlineStr">
        <is>
          <t>Bulk run</t>
        </is>
      </c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Payroll</t>
        </is>
      </c>
      <c r="C46" s="50" t="inlineStr">
        <is>
          <t>/hr/payroll</t>
        </is>
      </c>
      <c r="D46" s="55" t="inlineStr">
        <is>
          <t>CLICK</t>
        </is>
      </c>
      <c r="E46" s="50" t="inlineStr">
        <is>
          <t>Calculate</t>
        </is>
      </c>
      <c r="F46" s="52" t="inlineStr"/>
      <c r="G46" s="52" t="inlineStr">
        <is>
          <t>Payroll calculated for all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Payroll</t>
        </is>
      </c>
      <c r="C47" s="50" t="inlineStr">
        <is>
          <t>/hr/payroll</t>
        </is>
      </c>
      <c r="D47" s="51" t="inlineStr">
        <is>
          <t>ASSERT</t>
        </is>
      </c>
      <c r="E47" s="50" t="inlineStr">
        <is>
          <t>Raju — Gross wages (auto)</t>
        </is>
      </c>
      <c r="F47" s="52" t="inlineStr">
        <is>
          <t>₹20,000</t>
        </is>
      </c>
      <c r="G47" s="57" t="inlineStr">
        <is>
          <t>25 days × ₹800</t>
        </is>
      </c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Payroll</t>
        </is>
      </c>
      <c r="C48" s="50" t="inlineStr">
        <is>
          <t>/hr/payroll</t>
        </is>
      </c>
      <c r="D48" s="51" t="inlineStr">
        <is>
          <t>ASSERT</t>
        </is>
      </c>
      <c r="E48" s="50" t="inlineStr">
        <is>
          <t>Raju — PF deduction (auto)</t>
        </is>
      </c>
      <c r="F48" s="52" t="inlineStr">
        <is>
          <t>₹2,400</t>
        </is>
      </c>
      <c r="G48" s="57" t="inlineStr">
        <is>
          <t>12% of ₹20,000</t>
        </is>
      </c>
      <c r="H48" s="50" t="inlineStr"/>
      <c r="I48" s="53" t="inlineStr"/>
      <c r="J48" s="50" t="inlineStr"/>
    </row>
    <row r="49" ht="18" customHeight="1">
      <c r="A49" s="47" t="n">
        <v>45</v>
      </c>
      <c r="B49" s="50" t="inlineStr">
        <is>
          <t>Payroll</t>
        </is>
      </c>
      <c r="C49" s="50" t="inlineStr">
        <is>
          <t>/hr/payroll</t>
        </is>
      </c>
      <c r="D49" s="51" t="inlineStr">
        <is>
          <t>ASSERT</t>
        </is>
      </c>
      <c r="E49" s="50" t="inlineStr">
        <is>
          <t>Raju — ESI deduction (auto)</t>
        </is>
      </c>
      <c r="F49" s="52" t="inlineStr">
        <is>
          <t>₹150</t>
        </is>
      </c>
      <c r="G49" s="57" t="inlineStr">
        <is>
          <t>0.75% of ₹20,000</t>
        </is>
      </c>
      <c r="H49" s="50" t="inlineStr"/>
      <c r="I49" s="53" t="inlineStr"/>
      <c r="J49" s="50" t="inlineStr"/>
    </row>
    <row r="50" ht="18" customHeight="1">
      <c r="A50" s="47" t="n">
        <v>46</v>
      </c>
      <c r="B50" s="50" t="inlineStr">
        <is>
          <t>Payroll</t>
        </is>
      </c>
      <c r="C50" s="50" t="inlineStr">
        <is>
          <t>/hr/payroll</t>
        </is>
      </c>
      <c r="D50" s="51" t="inlineStr">
        <is>
          <t>ASSERT</t>
        </is>
      </c>
      <c r="E50" s="50" t="inlineStr">
        <is>
          <t>Raju — Net pay (auto)</t>
        </is>
      </c>
      <c r="F50" s="52" t="inlineStr">
        <is>
          <t>₹17,450</t>
        </is>
      </c>
      <c r="G50" s="57" t="inlineStr">
        <is>
          <t>₹20,000 − ₹2,400 PF − ₹150 ESI</t>
        </is>
      </c>
      <c r="H50" s="50" t="inlineStr"/>
      <c r="I50" s="53" t="inlineStr"/>
      <c r="J50" s="50" t="inlineStr"/>
    </row>
    <row r="51" ht="18" customHeight="1">
      <c r="A51" s="47" t="n">
        <v>47</v>
      </c>
      <c r="B51" s="50" t="inlineStr">
        <is>
          <t>Payroll</t>
        </is>
      </c>
      <c r="C51" s="50" t="inlineStr">
        <is>
          <t>/hr/payroll</t>
        </is>
      </c>
      <c r="D51" s="51" t="inlineStr">
        <is>
          <t>ASSERT</t>
        </is>
      </c>
      <c r="E51" s="50" t="inlineStr">
        <is>
          <t>Employer PF contribution (auto)</t>
        </is>
      </c>
      <c r="F51" s="52" t="inlineStr">
        <is>
          <t>₹2,400</t>
        </is>
      </c>
      <c r="G51" s="57" t="inlineStr">
        <is>
          <t>12% employer share</t>
        </is>
      </c>
      <c r="H51" s="50" t="inlineStr"/>
      <c r="I51" s="53" t="inlineStr"/>
      <c r="J51" s="50" t="inlineStr"/>
    </row>
    <row r="52" ht="18" customHeight="1">
      <c r="A52" s="47" t="n">
        <v>48</v>
      </c>
      <c r="B52" s="50" t="inlineStr">
        <is>
          <t>Payroll</t>
        </is>
      </c>
      <c r="C52" s="50" t="inlineStr">
        <is>
          <t>/hr/payroll</t>
        </is>
      </c>
      <c r="D52" s="51" t="inlineStr">
        <is>
          <t>ASSERT</t>
        </is>
      </c>
      <c r="E52" s="50" t="inlineStr">
        <is>
          <t>Employer ESI contribution (auto)</t>
        </is>
      </c>
      <c r="F52" s="52" t="inlineStr">
        <is>
          <t>₹650</t>
        </is>
      </c>
      <c r="G52" s="57" t="inlineStr">
        <is>
          <t>3.25% employer share</t>
        </is>
      </c>
      <c r="H52" s="50" t="inlineStr"/>
      <c r="I52" s="53" t="inlineStr"/>
      <c r="J52" s="50" t="inlineStr"/>
    </row>
    <row r="53" ht="16" customHeight="1">
      <c r="A53" s="70" t="inlineStr">
        <is>
          <t xml:space="preserve">  ▸  — LOAN &amp; ADVANCE MANAGEMENT —</t>
        </is>
      </c>
      <c r="B53" s="60" t="n"/>
      <c r="C53" s="60" t="n"/>
      <c r="D53" s="60" t="n"/>
      <c r="E53" s="60" t="n"/>
      <c r="F53" s="60" t="n"/>
      <c r="G53" s="60" t="n"/>
      <c r="H53" s="60" t="n"/>
      <c r="I53" s="60" t="n"/>
      <c r="J53" s="61" t="n"/>
    </row>
    <row r="54" ht="18" customHeight="1">
      <c r="A54" s="47" t="n">
        <v>50</v>
      </c>
      <c r="B54" s="50" t="inlineStr">
        <is>
          <t>Loans &amp; Advances</t>
        </is>
      </c>
      <c r="C54" s="50" t="inlineStr">
        <is>
          <t>/hr/loans</t>
        </is>
      </c>
      <c r="D54" s="54" t="inlineStr">
        <is>
          <t>NAVIGATE</t>
        </is>
      </c>
      <c r="E54" s="50" t="inlineStr"/>
      <c r="F54" s="52" t="inlineStr"/>
      <c r="G54" s="52" t="inlineStr">
        <is>
          <t>HR loans</t>
        </is>
      </c>
      <c r="H54" s="50" t="inlineStr"/>
      <c r="I54" s="53" t="inlineStr"/>
      <c r="J54" s="50" t="inlineStr"/>
    </row>
    <row r="55" ht="18" customHeight="1">
      <c r="A55" s="47" t="n">
        <v>51</v>
      </c>
      <c r="B55" s="50" t="inlineStr">
        <is>
          <t>Loans &amp; Advances</t>
        </is>
      </c>
      <c r="C55" s="50" t="inlineStr">
        <is>
          <t>/hr/loans</t>
        </is>
      </c>
      <c r="D55" s="55" t="inlineStr">
        <is>
          <t>CLICK</t>
        </is>
      </c>
      <c r="E55" s="50" t="inlineStr">
        <is>
          <t>+ New Loan — Raju Goldsmith</t>
        </is>
      </c>
      <c r="F55" s="52" t="inlineStr"/>
      <c r="G55" s="52" t="inlineStr">
        <is>
          <t>Loan form</t>
        </is>
      </c>
      <c r="H55" s="50" t="inlineStr"/>
      <c r="I55" s="53" t="inlineStr"/>
      <c r="J55" s="50" t="inlineStr"/>
    </row>
    <row r="56" ht="18" customHeight="1">
      <c r="A56" s="47" t="n">
        <v>52</v>
      </c>
      <c r="B56" s="50" t="inlineStr">
        <is>
          <t>Loans &amp; Advances</t>
        </is>
      </c>
      <c r="C56" s="50" t="inlineStr">
        <is>
          <t>/hr/loans</t>
        </is>
      </c>
      <c r="D56" s="56" t="inlineStr">
        <is>
          <t>ENTER</t>
        </is>
      </c>
      <c r="E56" s="50" t="inlineStr">
        <is>
          <t>Loan Amount</t>
        </is>
      </c>
      <c r="F56" s="52" t="inlineStr">
        <is>
          <t>₹5,000</t>
        </is>
      </c>
      <c r="G56" s="52" t="inlineStr">
        <is>
          <t>Salary advance</t>
        </is>
      </c>
      <c r="H56" s="50" t="inlineStr"/>
      <c r="I56" s="53" t="inlineStr"/>
      <c r="J56" s="50" t="inlineStr"/>
    </row>
    <row r="57" ht="18" customHeight="1">
      <c r="A57" s="47" t="n">
        <v>53</v>
      </c>
      <c r="B57" s="50" t="inlineStr">
        <is>
          <t>Loans &amp; Advances</t>
        </is>
      </c>
      <c r="C57" s="50" t="inlineStr">
        <is>
          <t>/hr/loans</t>
        </is>
      </c>
      <c r="D57" s="56" t="inlineStr">
        <is>
          <t>ENTER</t>
        </is>
      </c>
      <c r="E57" s="50" t="inlineStr">
        <is>
          <t>Recovery</t>
        </is>
      </c>
      <c r="F57" s="52" t="inlineStr">
        <is>
          <t>₹1,000/month for 5 months</t>
        </is>
      </c>
      <c r="G57" s="52" t="inlineStr"/>
      <c r="H57" s="50" t="inlineStr"/>
      <c r="I57" s="53" t="inlineStr"/>
      <c r="J57" s="50" t="inlineStr"/>
    </row>
    <row r="58" ht="18" customHeight="1">
      <c r="A58" s="47" t="n">
        <v>54</v>
      </c>
      <c r="B58" s="50" t="inlineStr">
        <is>
          <t>Loans &amp; Advances</t>
        </is>
      </c>
      <c r="C58" s="50" t="inlineStr">
        <is>
          <t>/hr/loans</t>
        </is>
      </c>
      <c r="D58" s="55" t="inlineStr">
        <is>
          <t>CLICK</t>
        </is>
      </c>
      <c r="E58" s="50" t="inlineStr">
        <is>
          <t>Approve Loan</t>
        </is>
      </c>
      <c r="F58" s="52" t="inlineStr"/>
      <c r="G58" s="52" t="inlineStr">
        <is>
          <t>Loan approved. Recovery schedule created.</t>
        </is>
      </c>
      <c r="H58" s="50" t="inlineStr"/>
      <c r="I58" s="53" t="inlineStr"/>
      <c r="J58" s="50" t="inlineStr"/>
    </row>
    <row r="59" ht="18" customHeight="1">
      <c r="A59" s="47" t="n">
        <v>55</v>
      </c>
      <c r="B59" s="50" t="inlineStr">
        <is>
          <t>Payroll</t>
        </is>
      </c>
      <c r="C59" s="50" t="inlineStr">
        <is>
          <t>/hr/payroll</t>
        </is>
      </c>
      <c r="D59" s="51" t="inlineStr">
        <is>
          <t>ASSERT</t>
        </is>
      </c>
      <c r="E59" s="50" t="inlineStr">
        <is>
          <t>February payroll — loan deduction</t>
        </is>
      </c>
      <c r="F59" s="52" t="inlineStr">
        <is>
          <t>₹1,000 deducted from Raju's salary</t>
        </is>
      </c>
      <c r="G59" s="57" t="inlineStr">
        <is>
          <t>Auto-deduction from payroll</t>
        </is>
      </c>
      <c r="H59" s="50" t="inlineStr"/>
      <c r="I59" s="53" t="inlineStr"/>
      <c r="J59" s="50" t="inlineStr"/>
    </row>
    <row r="60" ht="16" customHeight="1">
      <c r="A60" s="70" t="inlineStr">
        <is>
          <t xml:space="preserve">  ▸  — TRAVEL &amp; EXPENSE CLAIMS —</t>
        </is>
      </c>
      <c r="B60" s="60" t="n"/>
      <c r="C60" s="60" t="n"/>
      <c r="D60" s="60" t="n"/>
      <c r="E60" s="60" t="n"/>
      <c r="F60" s="60" t="n"/>
      <c r="G60" s="60" t="n"/>
      <c r="H60" s="60" t="n"/>
      <c r="I60" s="60" t="n"/>
      <c r="J60" s="61" t="n"/>
    </row>
    <row r="61" ht="18" customHeight="1">
      <c r="A61" s="47" t="n">
        <v>57</v>
      </c>
      <c r="B61" s="50" t="inlineStr">
        <is>
          <t>HR Expense Claims</t>
        </is>
      </c>
      <c r="C61" s="50" t="inlineStr">
        <is>
          <t>/hr/expense-claims</t>
        </is>
      </c>
      <c r="D61" s="54" t="inlineStr">
        <is>
          <t>NAVIGATE</t>
        </is>
      </c>
      <c r="E61" s="50" t="inlineStr"/>
      <c r="F61" s="52" t="inlineStr"/>
      <c r="G61" s="52" t="inlineStr">
        <is>
          <t>Expense claims</t>
        </is>
      </c>
      <c r="H61" s="50" t="inlineStr"/>
      <c r="I61" s="53" t="inlineStr"/>
      <c r="J61" s="50" t="inlineStr"/>
    </row>
    <row r="62" ht="18" customHeight="1">
      <c r="A62" s="47" t="n">
        <v>58</v>
      </c>
      <c r="B62" s="50" t="inlineStr">
        <is>
          <t>HR Expense Claims</t>
        </is>
      </c>
      <c r="C62" s="50" t="inlineStr">
        <is>
          <t>/hr/expense-claims</t>
        </is>
      </c>
      <c r="D62" s="55" t="inlineStr">
        <is>
          <t>CLICK</t>
        </is>
      </c>
      <c r="E62" s="50" t="inlineStr">
        <is>
          <t>+ New Claim — Raju Goldsmith</t>
        </is>
      </c>
      <c r="F62" s="52" t="inlineStr"/>
      <c r="G62" s="52" t="inlineStr">
        <is>
          <t>Claim form</t>
        </is>
      </c>
      <c r="H62" s="50" t="inlineStr"/>
      <c r="I62" s="53" t="inlineStr"/>
      <c r="J62" s="50" t="inlineStr"/>
    </row>
    <row r="63" ht="18" customHeight="1">
      <c r="A63" s="47" t="n">
        <v>59</v>
      </c>
      <c r="B63" s="50" t="inlineStr">
        <is>
          <t>HR Expense Claims</t>
        </is>
      </c>
      <c r="C63" s="50" t="inlineStr">
        <is>
          <t>/hr/expense-claims</t>
        </is>
      </c>
      <c r="D63" s="56" t="inlineStr">
        <is>
          <t>ENTER</t>
        </is>
      </c>
      <c r="E63" s="50" t="inlineStr">
        <is>
          <t>Expense Type</t>
        </is>
      </c>
      <c r="F63" s="52" t="inlineStr">
        <is>
          <t>Travel — Auto to BIS Centre</t>
        </is>
      </c>
      <c r="G63" s="52" t="inlineStr"/>
      <c r="H63" s="50" t="inlineStr"/>
      <c r="I63" s="53" t="inlineStr"/>
      <c r="J63" s="50" t="inlineStr"/>
    </row>
    <row r="64" ht="18" customHeight="1">
      <c r="A64" s="47" t="n">
        <v>60</v>
      </c>
      <c r="B64" s="50" t="inlineStr">
        <is>
          <t>HR Expense Claims</t>
        </is>
      </c>
      <c r="C64" s="50" t="inlineStr">
        <is>
          <t>/hr/expense-claims</t>
        </is>
      </c>
      <c r="D64" s="56" t="inlineStr">
        <is>
          <t>ENTER</t>
        </is>
      </c>
      <c r="E64" s="50" t="inlineStr">
        <is>
          <t>Amount</t>
        </is>
      </c>
      <c r="F64" s="52" t="inlineStr">
        <is>
          <t>₹150</t>
        </is>
      </c>
      <c r="G64" s="52" t="inlineStr"/>
      <c r="H64" s="50" t="inlineStr"/>
      <c r="I64" s="53" t="inlineStr"/>
      <c r="J64" s="50" t="inlineStr"/>
    </row>
    <row r="65" ht="18" customHeight="1">
      <c r="A65" s="47" t="n">
        <v>61</v>
      </c>
      <c r="B65" s="50" t="inlineStr">
        <is>
          <t>HR Expense Claims</t>
        </is>
      </c>
      <c r="C65" s="50" t="inlineStr">
        <is>
          <t>/hr/expense-claims</t>
        </is>
      </c>
      <c r="D65" s="56" t="inlineStr">
        <is>
          <t>ENTER</t>
        </is>
      </c>
      <c r="E65" s="50" t="inlineStr">
        <is>
          <t>Date</t>
        </is>
      </c>
      <c r="F65" s="52" t="inlineStr">
        <is>
          <t>Today</t>
        </is>
      </c>
      <c r="G65" s="52" t="inlineStr"/>
      <c r="H65" s="50" t="inlineStr"/>
      <c r="I65" s="53" t="inlineStr"/>
      <c r="J65" s="50" t="inlineStr"/>
    </row>
    <row r="66" ht="18" customHeight="1">
      <c r="A66" s="47" t="n">
        <v>62</v>
      </c>
      <c r="B66" s="50" t="inlineStr">
        <is>
          <t>HR Expense Claims</t>
        </is>
      </c>
      <c r="C66" s="50" t="inlineStr">
        <is>
          <t>/hr/expense-claims</t>
        </is>
      </c>
      <c r="D66" s="55" t="inlineStr">
        <is>
          <t>CLICK</t>
        </is>
      </c>
      <c r="E66" s="50" t="inlineStr">
        <is>
          <t>Upload Receipt</t>
        </is>
      </c>
      <c r="F66" s="52" t="inlineStr">
        <is>
          <t>auto_receipt.jpg</t>
        </is>
      </c>
      <c r="G66" s="52" t="inlineStr"/>
      <c r="H66" s="50" t="inlineStr"/>
      <c r="I66" s="53" t="inlineStr"/>
      <c r="J66" s="50" t="inlineStr"/>
    </row>
    <row r="67" ht="18" customHeight="1">
      <c r="A67" s="47" t="n">
        <v>63</v>
      </c>
      <c r="B67" s="50" t="inlineStr">
        <is>
          <t>HR Expense Claims</t>
        </is>
      </c>
      <c r="C67" s="50" t="inlineStr">
        <is>
          <t>/hr/expense-claims</t>
        </is>
      </c>
      <c r="D67" s="55" t="inlineStr">
        <is>
          <t>CLICK</t>
        </is>
      </c>
      <c r="E67" s="50" t="inlineStr">
        <is>
          <t>Submit</t>
        </is>
      </c>
      <c r="F67" s="52" t="inlineStr"/>
      <c r="G67" s="52" t="inlineStr">
        <is>
          <t>Claim submitted for approval</t>
        </is>
      </c>
      <c r="H67" s="50" t="inlineStr"/>
      <c r="I67" s="53" t="inlineStr"/>
      <c r="J67" s="50" t="inlineStr"/>
    </row>
    <row r="68" ht="18" customHeight="1">
      <c r="A68" s="47" t="n">
        <v>64</v>
      </c>
      <c r="B68" s="50" t="inlineStr">
        <is>
          <t>HR Expense Claims</t>
        </is>
      </c>
      <c r="C68" s="50" t="inlineStr">
        <is>
          <t>/hr/expense-claims</t>
        </is>
      </c>
      <c r="D68" s="55" t="inlineStr">
        <is>
          <t>CLICK</t>
        </is>
      </c>
      <c r="E68" s="50" t="inlineStr">
        <is>
          <t>Approve Claim</t>
        </is>
      </c>
      <c r="F68" s="52" t="inlineStr"/>
      <c r="G68" s="52" t="inlineStr">
        <is>
          <t>Claim approved. ₹150 added to next payroll.</t>
        </is>
      </c>
      <c r="H68" s="50" t="inlineStr"/>
      <c r="I68" s="53" t="inlineStr"/>
      <c r="J68" s="50" t="inlineStr"/>
    </row>
    <row r="69" ht="16" customHeight="1">
      <c r="A69" s="70" t="inlineStr">
        <is>
          <t xml:space="preserve">  ▸  — STATUTORY COMPLIANCE —</t>
        </is>
      </c>
      <c r="B69" s="60" t="n"/>
      <c r="C69" s="60" t="n"/>
      <c r="D69" s="60" t="n"/>
      <c r="E69" s="60" t="n"/>
      <c r="F69" s="60" t="n"/>
      <c r="G69" s="60" t="n"/>
      <c r="H69" s="60" t="n"/>
      <c r="I69" s="60" t="n"/>
      <c r="J69" s="61" t="n"/>
    </row>
    <row r="70" ht="18" customHeight="1">
      <c r="A70" s="47" t="n">
        <v>66</v>
      </c>
      <c r="B70" s="50" t="inlineStr">
        <is>
          <t>Payroll</t>
        </is>
      </c>
      <c r="C70" s="50" t="inlineStr">
        <is>
          <t>/hr/payroll</t>
        </is>
      </c>
      <c r="D70" s="55" t="inlineStr">
        <is>
          <t>CLICK</t>
        </is>
      </c>
      <c r="E70" s="50" t="inlineStr">
        <is>
          <t>Generate PF ECR — January 2024</t>
        </is>
      </c>
      <c r="F70" s="52" t="inlineStr"/>
      <c r="G70" s="52" t="inlineStr">
        <is>
          <t>ECR file generated for EPFO upload</t>
        </is>
      </c>
      <c r="H70" s="50" t="inlineStr"/>
      <c r="I70" s="53" t="inlineStr"/>
      <c r="J70" s="50" t="inlineStr"/>
    </row>
    <row r="71" ht="32" customHeight="1">
      <c r="A71" s="47" t="n">
        <v>67</v>
      </c>
      <c r="B71" s="50" t="inlineStr">
        <is>
          <t>Payroll</t>
        </is>
      </c>
      <c r="C71" s="50" t="inlineStr">
        <is>
          <t>/hr/payroll</t>
        </is>
      </c>
      <c r="D71" s="51" t="inlineStr">
        <is>
          <t>ASSERT</t>
        </is>
      </c>
      <c r="E71" s="50" t="inlineStr">
        <is>
          <t>PF ECR contents</t>
        </is>
      </c>
      <c r="F71" s="52" t="inlineStr">
        <is>
          <t>Raju: UAN linked, EPF ₹2,400 + EPS ₹1,500 + EDLI</t>
        </is>
      </c>
      <c r="G71" s="57" t="inlineStr"/>
      <c r="H71" s="50" t="inlineStr"/>
      <c r="I71" s="53" t="inlineStr"/>
      <c r="J71" s="50" t="inlineStr"/>
    </row>
    <row r="72" ht="18" customHeight="1">
      <c r="A72" s="47" t="n">
        <v>68</v>
      </c>
      <c r="B72" s="50" t="inlineStr">
        <is>
          <t>Payroll</t>
        </is>
      </c>
      <c r="C72" s="50" t="inlineStr">
        <is>
          <t>/hr/payroll</t>
        </is>
      </c>
      <c r="D72" s="55" t="inlineStr">
        <is>
          <t>CLICK</t>
        </is>
      </c>
      <c r="E72" s="50" t="inlineStr">
        <is>
          <t>Download ECR .txt file</t>
        </is>
      </c>
      <c r="F72" s="52" t="inlineStr"/>
      <c r="G72" s="52" t="inlineStr">
        <is>
          <t>File ready for EPFO portal upload</t>
        </is>
      </c>
      <c r="H72" s="50" t="inlineStr"/>
      <c r="I72" s="53" t="inlineStr"/>
      <c r="J72" s="50" t="inlineStr"/>
    </row>
    <row r="73" ht="18" customHeight="1">
      <c r="A73" s="47" t="n">
        <v>69</v>
      </c>
      <c r="B73" s="50" t="inlineStr">
        <is>
          <t>Payroll</t>
        </is>
      </c>
      <c r="C73" s="50" t="inlineStr">
        <is>
          <t>/hr/payroll</t>
        </is>
      </c>
      <c r="D73" s="55" t="inlineStr">
        <is>
          <t>CLICK</t>
        </is>
      </c>
      <c r="E73" s="50" t="inlineStr">
        <is>
          <t>Generate ESI Return — January 2024</t>
        </is>
      </c>
      <c r="F73" s="52" t="inlineStr"/>
      <c r="G73" s="52" t="inlineStr">
        <is>
          <t>ESI return data</t>
        </is>
      </c>
      <c r="H73" s="50" t="inlineStr"/>
      <c r="I73" s="53" t="inlineStr"/>
      <c r="J73" s="50" t="inlineStr"/>
    </row>
    <row r="74" ht="32" customHeight="1">
      <c r="A74" s="47" t="n">
        <v>70</v>
      </c>
      <c r="B74" s="50" t="inlineStr">
        <is>
          <t>Payroll</t>
        </is>
      </c>
      <c r="C74" s="50" t="inlineStr">
        <is>
          <t>/hr/payroll</t>
        </is>
      </c>
      <c r="D74" s="51" t="inlineStr">
        <is>
          <t>ASSERT</t>
        </is>
      </c>
      <c r="E74" s="50" t="inlineStr">
        <is>
          <t>ESI Return</t>
        </is>
      </c>
      <c r="F74" s="52" t="inlineStr">
        <is>
          <t>IP No, wages, employee + employer contribution</t>
        </is>
      </c>
      <c r="G74" s="57" t="inlineStr"/>
      <c r="H74" s="50" t="inlineStr"/>
      <c r="I74" s="53" t="inlineStr"/>
      <c r="J74" s="50" t="inlineStr"/>
    </row>
    <row r="75" ht="16" customHeight="1">
      <c r="A75" s="70" t="inlineStr">
        <is>
          <t xml:space="preserve">  ▸  — PERFORMANCE APPRAISAL —</t>
        </is>
      </c>
      <c r="B75" s="60" t="n"/>
      <c r="C75" s="60" t="n"/>
      <c r="D75" s="60" t="n"/>
      <c r="E75" s="60" t="n"/>
      <c r="F75" s="60" t="n"/>
      <c r="G75" s="60" t="n"/>
      <c r="H75" s="60" t="n"/>
      <c r="I75" s="60" t="n"/>
      <c r="J75" s="61" t="n"/>
    </row>
    <row r="76" ht="18" customHeight="1">
      <c r="A76" s="47" t="n">
        <v>72</v>
      </c>
      <c r="B76" s="50" t="inlineStr">
        <is>
          <t>Performance Appraisals</t>
        </is>
      </c>
      <c r="C76" s="50" t="inlineStr">
        <is>
          <t>/hr/appraisals</t>
        </is>
      </c>
      <c r="D76" s="54" t="inlineStr">
        <is>
          <t>NAVIGATE</t>
        </is>
      </c>
      <c r="E76" s="50" t="inlineStr"/>
      <c r="F76" s="52" t="inlineStr"/>
      <c r="G76" s="52" t="inlineStr">
        <is>
          <t>Appraisals screen</t>
        </is>
      </c>
      <c r="H76" s="50" t="inlineStr"/>
      <c r="I76" s="53" t="inlineStr"/>
      <c r="J76" s="50" t="inlineStr"/>
    </row>
    <row r="77" ht="18" customHeight="1">
      <c r="A77" s="47" t="n">
        <v>73</v>
      </c>
      <c r="B77" s="50" t="inlineStr">
        <is>
          <t>Performance Appraisals</t>
        </is>
      </c>
      <c r="C77" s="50" t="inlineStr">
        <is>
          <t>/hr/appraisals</t>
        </is>
      </c>
      <c r="D77" s="55" t="inlineStr">
        <is>
          <t>CLICK</t>
        </is>
      </c>
      <c r="E77" s="50" t="inlineStr">
        <is>
          <t>+ New Appraisal — Raju Goldsmith</t>
        </is>
      </c>
      <c r="F77" s="52" t="inlineStr"/>
      <c r="G77" s="52" t="inlineStr">
        <is>
          <t>Appraisal form</t>
        </is>
      </c>
      <c r="H77" s="50" t="inlineStr"/>
      <c r="I77" s="53" t="inlineStr"/>
      <c r="J77" s="50" t="inlineStr"/>
    </row>
    <row r="78" ht="18" customHeight="1">
      <c r="A78" s="47" t="n">
        <v>74</v>
      </c>
      <c r="B78" s="50" t="inlineStr">
        <is>
          <t>Performance Appraisals</t>
        </is>
      </c>
      <c r="C78" s="50" t="inlineStr">
        <is>
          <t>/hr/appraisals</t>
        </is>
      </c>
      <c r="D78" s="56" t="inlineStr">
        <is>
          <t>ENTER</t>
        </is>
      </c>
      <c r="E78" s="50" t="inlineStr">
        <is>
          <t>Period</t>
        </is>
      </c>
      <c r="F78" s="52" t="inlineStr">
        <is>
          <t>Q1 2024 (Jan–Mar)</t>
        </is>
      </c>
      <c r="G78" s="52" t="inlineStr"/>
      <c r="H78" s="50" t="inlineStr"/>
      <c r="I78" s="53" t="inlineStr"/>
      <c r="J78" s="50" t="inlineStr"/>
    </row>
    <row r="79" ht="18" customHeight="1">
      <c r="A79" s="47" t="n">
        <v>75</v>
      </c>
      <c r="B79" s="50" t="inlineStr">
        <is>
          <t>Performance Appraisals</t>
        </is>
      </c>
      <c r="C79" s="50" t="inlineStr">
        <is>
          <t>/hr/appraisals</t>
        </is>
      </c>
      <c r="D79" s="56" t="inlineStr">
        <is>
          <t>ENTER</t>
        </is>
      </c>
      <c r="E79" s="50" t="inlineStr">
        <is>
          <t>Production output (gm)</t>
        </is>
      </c>
      <c r="F79" s="52" t="inlineStr">
        <is>
          <t>98.5 gm finished goods</t>
        </is>
      </c>
      <c r="G79" s="52" t="inlineStr">
        <is>
          <t>From production records</t>
        </is>
      </c>
      <c r="H79" s="50" t="inlineStr"/>
      <c r="I79" s="53" t="inlineStr"/>
      <c r="J79" s="50" t="inlineStr"/>
    </row>
    <row r="80" ht="18" customHeight="1">
      <c r="A80" s="47" t="n">
        <v>76</v>
      </c>
      <c r="B80" s="50" t="inlineStr">
        <is>
          <t>Performance Appraisals</t>
        </is>
      </c>
      <c r="C80" s="50" t="inlineStr">
        <is>
          <t>/hr/appraisals</t>
        </is>
      </c>
      <c r="D80" s="56" t="inlineStr">
        <is>
          <t>ENTER</t>
        </is>
      </c>
      <c r="E80" s="50" t="inlineStr">
        <is>
          <t>Wastage %</t>
        </is>
      </c>
      <c r="F80" s="52" t="inlineStr">
        <is>
          <t>4.2%</t>
        </is>
      </c>
      <c r="G80" s="52" t="inlineStr">
        <is>
          <t>Below 5% allowance — excellent</t>
        </is>
      </c>
      <c r="H80" s="50" t="inlineStr"/>
      <c r="I80" s="53" t="inlineStr"/>
      <c r="J80" s="50" t="inlineStr"/>
    </row>
    <row r="81" ht="18" customHeight="1">
      <c r="A81" s="47" t="n">
        <v>77</v>
      </c>
      <c r="B81" s="50" t="inlineStr">
        <is>
          <t>Performance Appraisals</t>
        </is>
      </c>
      <c r="C81" s="50" t="inlineStr">
        <is>
          <t>/hr/appraisals</t>
        </is>
      </c>
      <c r="D81" s="56" t="inlineStr">
        <is>
          <t>ENTER</t>
        </is>
      </c>
      <c r="E81" s="50" t="inlineStr">
        <is>
          <t>QC pass rate</t>
        </is>
      </c>
      <c r="F81" s="52" t="inlineStr">
        <is>
          <t>95%</t>
        </is>
      </c>
      <c r="G81" s="52" t="inlineStr">
        <is>
          <t>1 rework in 20 jobs</t>
        </is>
      </c>
      <c r="H81" s="50" t="inlineStr"/>
      <c r="I81" s="53" t="inlineStr"/>
      <c r="J81" s="50" t="inlineStr"/>
    </row>
    <row r="82" ht="18" customHeight="1">
      <c r="A82" s="47" t="n">
        <v>78</v>
      </c>
      <c r="B82" s="50" t="inlineStr">
        <is>
          <t>Performance Appraisals</t>
        </is>
      </c>
      <c r="C82" s="50" t="inlineStr">
        <is>
          <t>/hr/appraisals</t>
        </is>
      </c>
      <c r="D82" s="56" t="inlineStr">
        <is>
          <t>ENTER</t>
        </is>
      </c>
      <c r="E82" s="50" t="inlineStr">
        <is>
          <t>Rating</t>
        </is>
      </c>
      <c r="F82" s="52" t="inlineStr">
        <is>
          <t>Excellent — 5/5</t>
        </is>
      </c>
      <c r="G82" s="52" t="inlineStr"/>
      <c r="H82" s="50" t="inlineStr"/>
      <c r="I82" s="53" t="inlineStr"/>
      <c r="J82" s="50" t="inlineStr"/>
    </row>
    <row r="83" ht="18" customHeight="1">
      <c r="A83" s="47" t="n">
        <v>79</v>
      </c>
      <c r="B83" s="50" t="inlineStr">
        <is>
          <t>Performance Appraisals</t>
        </is>
      </c>
      <c r="C83" s="50" t="inlineStr">
        <is>
          <t>/hr/appraisals</t>
        </is>
      </c>
      <c r="D83" s="56" t="inlineStr">
        <is>
          <t>ENTER</t>
        </is>
      </c>
      <c r="E83" s="50" t="inlineStr">
        <is>
          <t>Increment</t>
        </is>
      </c>
      <c r="F83" s="52" t="inlineStr">
        <is>
          <t>₹50/day (₹800 → ₹850)</t>
        </is>
      </c>
      <c r="G83" s="52" t="inlineStr">
        <is>
          <t>Performance-based increment</t>
        </is>
      </c>
      <c r="H83" s="50" t="inlineStr"/>
      <c r="I83" s="53" t="inlineStr"/>
      <c r="J83" s="50" t="inlineStr"/>
    </row>
    <row r="84" ht="18" customHeight="1">
      <c r="A84" s="47" t="n">
        <v>80</v>
      </c>
      <c r="B84" s="50" t="inlineStr">
        <is>
          <t>Performance Appraisals</t>
        </is>
      </c>
      <c r="C84" s="50" t="inlineStr">
        <is>
          <t>/hr/appraisals</t>
        </is>
      </c>
      <c r="D84" s="55" t="inlineStr">
        <is>
          <t>CLICK</t>
        </is>
      </c>
      <c r="E84" s="50" t="inlineStr">
        <is>
          <t>Save Appraisal</t>
        </is>
      </c>
      <c r="F84" s="52" t="inlineStr"/>
      <c r="G84" s="52" t="inlineStr">
        <is>
          <t>Appraisal saved. Wage updated from Q2.</t>
        </is>
      </c>
      <c r="H84" s="50" t="inlineStr"/>
      <c r="I84" s="53" t="inlineStr"/>
      <c r="J84" s="50" t="inlineStr"/>
    </row>
    <row r="85" ht="16" customHeight="1">
      <c r="A85" s="70" t="inlineStr">
        <is>
          <t xml:space="preserve">  ▸  — EMPLOYEE SELF-SERVICE (ESS) —</t>
        </is>
      </c>
      <c r="B85" s="60" t="n"/>
      <c r="C85" s="60" t="n"/>
      <c r="D85" s="60" t="n"/>
      <c r="E85" s="60" t="n"/>
      <c r="F85" s="60" t="n"/>
      <c r="G85" s="60" t="n"/>
      <c r="H85" s="60" t="n"/>
      <c r="I85" s="60" t="n"/>
      <c r="J85" s="61" t="n"/>
    </row>
    <row r="86" ht="18" customHeight="1">
      <c r="A86" s="47" t="n">
        <v>82</v>
      </c>
      <c r="B86" s="50" t="inlineStr">
        <is>
          <t>Employees</t>
        </is>
      </c>
      <c r="C86" s="50" t="inlineStr">
        <is>
          <t>/ess/portal</t>
        </is>
      </c>
      <c r="D86" s="54" t="inlineStr">
        <is>
          <t>NAVIGATE</t>
        </is>
      </c>
      <c r="E86" s="50" t="inlineStr"/>
      <c r="F86" s="52" t="inlineStr"/>
      <c r="G86" s="52" t="inlineStr">
        <is>
          <t>ESS portal — login as Raju Goldsmith</t>
        </is>
      </c>
      <c r="H86" s="50" t="inlineStr"/>
      <c r="I86" s="53" t="inlineStr"/>
      <c r="J86" s="50" t="inlineStr"/>
    </row>
    <row r="87" ht="18" customHeight="1">
      <c r="A87" s="47" t="n">
        <v>83</v>
      </c>
      <c r="B87" s="50" t="inlineStr">
        <is>
          <t>Employees</t>
        </is>
      </c>
      <c r="C87" s="50" t="inlineStr">
        <is>
          <t>/ess/portal</t>
        </is>
      </c>
      <c r="D87" s="51" t="inlineStr">
        <is>
          <t>ASSERT</t>
        </is>
      </c>
      <c r="E87" s="50" t="inlineStr">
        <is>
          <t>Wage slip January 2024</t>
        </is>
      </c>
      <c r="F87" s="52" t="inlineStr">
        <is>
          <t>₹17,450 net pay visible</t>
        </is>
      </c>
      <c r="G87" s="57" t="inlineStr">
        <is>
          <t>Employee can view own slip</t>
        </is>
      </c>
      <c r="H87" s="50" t="inlineStr"/>
      <c r="I87" s="53" t="inlineStr"/>
      <c r="J87" s="50" t="inlineStr"/>
    </row>
    <row r="88" ht="18" customHeight="1">
      <c r="A88" s="47" t="n">
        <v>84</v>
      </c>
      <c r="B88" s="50" t="inlineStr">
        <is>
          <t>Employees</t>
        </is>
      </c>
      <c r="C88" s="50" t="inlineStr">
        <is>
          <t>/ess/portal</t>
        </is>
      </c>
      <c r="D88" s="55" t="inlineStr">
        <is>
          <t>CLICK</t>
        </is>
      </c>
      <c r="E88" s="50" t="inlineStr">
        <is>
          <t>Download Wage Slip (PDF)</t>
        </is>
      </c>
      <c r="F88" s="52" t="inlineStr"/>
      <c r="G88" s="52" t="inlineStr">
        <is>
          <t>Wage slip downloaded</t>
        </is>
      </c>
      <c r="H88" s="50" t="inlineStr"/>
      <c r="I88" s="53" t="inlineStr"/>
      <c r="J88" s="50" t="inlineStr"/>
    </row>
    <row r="89" ht="18" customHeight="1">
      <c r="A89" s="47" t="n">
        <v>85</v>
      </c>
      <c r="B89" s="50" t="inlineStr">
        <is>
          <t>Employees</t>
        </is>
      </c>
      <c r="C89" s="50" t="inlineStr">
        <is>
          <t>/ess/portal</t>
        </is>
      </c>
      <c r="D89" s="51" t="inlineStr">
        <is>
          <t>ASSERT</t>
        </is>
      </c>
      <c r="E89" s="50" t="inlineStr">
        <is>
          <t>Leave balance</t>
        </is>
      </c>
      <c r="F89" s="52" t="inlineStr">
        <is>
          <t>Casual: 8 remaining (10 − 2 taken)</t>
        </is>
      </c>
      <c r="G89" s="57" t="inlineStr"/>
      <c r="H89" s="50" t="inlineStr"/>
      <c r="I89" s="53" t="inlineStr"/>
      <c r="J89" s="50" t="inlineStr"/>
    </row>
    <row r="90" ht="18" customHeight="1">
      <c r="A90" s="47" t="n">
        <v>86</v>
      </c>
      <c r="B90" s="50" t="inlineStr">
        <is>
          <t>Employees</t>
        </is>
      </c>
      <c r="C90" s="50" t="inlineStr">
        <is>
          <t>/ess/portal</t>
        </is>
      </c>
      <c r="D90" s="51" t="inlineStr">
        <is>
          <t>ASSERT</t>
        </is>
      </c>
      <c r="E90" s="50" t="inlineStr">
        <is>
          <t>Loan balance</t>
        </is>
      </c>
      <c r="F90" s="52" t="inlineStr">
        <is>
          <t>₹4,000 outstanding (₹5,000 − ₹1,000 paid)</t>
        </is>
      </c>
      <c r="G90" s="57" t="inlineStr"/>
      <c r="H90" s="50" t="inlineStr"/>
      <c r="I90" s="53" t="inlineStr"/>
      <c r="J90" s="50" t="inlineStr"/>
    </row>
    <row r="91" ht="16" customHeight="1">
      <c r="A91" s="70" t="inlineStr">
        <is>
          <t xml:space="preserve">  ▸  — RECRUITMENT + EXIT —</t>
        </is>
      </c>
      <c r="B91" s="60" t="n"/>
      <c r="C91" s="60" t="n"/>
      <c r="D91" s="60" t="n"/>
      <c r="E91" s="60" t="n"/>
      <c r="F91" s="60" t="n"/>
      <c r="G91" s="60" t="n"/>
      <c r="H91" s="60" t="n"/>
      <c r="I91" s="60" t="n"/>
      <c r="J91" s="61" t="n"/>
    </row>
    <row r="92" ht="18" customHeight="1">
      <c r="A92" s="47" t="n">
        <v>88</v>
      </c>
      <c r="B92" s="50" t="inlineStr">
        <is>
          <t>Recruitment</t>
        </is>
      </c>
      <c r="C92" s="50" t="inlineStr">
        <is>
          <t>/hr/recruitment</t>
        </is>
      </c>
      <c r="D92" s="54" t="inlineStr">
        <is>
          <t>NAVIGATE</t>
        </is>
      </c>
      <c r="E92" s="50" t="inlineStr"/>
      <c r="F92" s="52" t="inlineStr"/>
      <c r="G92" s="52" t="inlineStr">
        <is>
          <t>Recruitment screen</t>
        </is>
      </c>
      <c r="H92" s="50" t="inlineStr"/>
      <c r="I92" s="53" t="inlineStr"/>
      <c r="J92" s="50" t="inlineStr"/>
    </row>
    <row r="93" ht="18" customHeight="1">
      <c r="A93" s="47" t="n">
        <v>89</v>
      </c>
      <c r="B93" s="50" t="inlineStr">
        <is>
          <t>Recruitment</t>
        </is>
      </c>
      <c r="C93" s="50" t="inlineStr">
        <is>
          <t>/hr/recruitment</t>
        </is>
      </c>
      <c r="D93" s="55" t="inlineStr">
        <is>
          <t>CLICK</t>
        </is>
      </c>
      <c r="E93" s="50" t="inlineStr">
        <is>
          <t>+ Open Position</t>
        </is>
      </c>
      <c r="F93" s="52" t="inlineStr"/>
      <c r="G93" s="52" t="inlineStr"/>
      <c r="H93" s="50" t="inlineStr"/>
      <c r="I93" s="53" t="inlineStr"/>
      <c r="J93" s="50" t="inlineStr"/>
    </row>
    <row r="94" ht="18" customHeight="1">
      <c r="A94" s="47" t="n">
        <v>90</v>
      </c>
      <c r="B94" s="50" t="inlineStr">
        <is>
          <t>Recruitment</t>
        </is>
      </c>
      <c r="C94" s="50" t="inlineStr">
        <is>
          <t>/hr/recruitment</t>
        </is>
      </c>
      <c r="D94" s="56" t="inlineStr">
        <is>
          <t>ENTER</t>
        </is>
      </c>
      <c r="E94" s="50" t="inlineStr">
        <is>
          <t>Position</t>
        </is>
      </c>
      <c r="F94" s="52" t="inlineStr">
        <is>
          <t>Junior Karigar — Stone Setter</t>
        </is>
      </c>
      <c r="G94" s="52" t="inlineStr"/>
      <c r="H94" s="50" t="inlineStr"/>
      <c r="I94" s="53" t="inlineStr"/>
      <c r="J94" s="50" t="inlineStr"/>
    </row>
    <row r="95" ht="18" customHeight="1">
      <c r="A95" s="47" t="n">
        <v>91</v>
      </c>
      <c r="B95" s="50" t="inlineStr">
        <is>
          <t>Recruitment</t>
        </is>
      </c>
      <c r="C95" s="50" t="inlineStr">
        <is>
          <t>/hr/recruitment</t>
        </is>
      </c>
      <c r="D95" s="56" t="inlineStr">
        <is>
          <t>ENTER</t>
        </is>
      </c>
      <c r="E95" s="50" t="inlineStr">
        <is>
          <t>Openings</t>
        </is>
      </c>
      <c r="F95" s="52" t="inlineStr">
        <is>
          <t>1</t>
        </is>
      </c>
      <c r="G95" s="52" t="inlineStr"/>
      <c r="H95" s="50" t="inlineStr"/>
      <c r="I95" s="53" t="inlineStr"/>
      <c r="J95" s="50" t="inlineStr"/>
    </row>
    <row r="96" ht="18" customHeight="1">
      <c r="A96" s="47" t="n">
        <v>92</v>
      </c>
      <c r="B96" s="50" t="inlineStr">
        <is>
          <t>Recruitment</t>
        </is>
      </c>
      <c r="C96" s="50" t="inlineStr">
        <is>
          <t>/hr/recruitment</t>
        </is>
      </c>
      <c r="D96" s="56" t="inlineStr">
        <is>
          <t>ENTER</t>
        </is>
      </c>
      <c r="E96" s="50" t="inlineStr">
        <is>
          <t>Skills Required</t>
        </is>
      </c>
      <c r="F96" s="52" t="inlineStr">
        <is>
          <t>Stone setting, 18K expertise</t>
        </is>
      </c>
      <c r="G96" s="52" t="inlineStr"/>
      <c r="H96" s="50" t="inlineStr"/>
      <c r="I96" s="53" t="inlineStr"/>
      <c r="J96" s="50" t="inlineStr"/>
    </row>
    <row r="97" ht="18" customHeight="1">
      <c r="A97" s="47" t="n">
        <v>93</v>
      </c>
      <c r="B97" s="50" t="inlineStr">
        <is>
          <t>Recruitment</t>
        </is>
      </c>
      <c r="C97" s="50" t="inlineStr">
        <is>
          <t>/hr/recruitment</t>
        </is>
      </c>
      <c r="D97" s="55" t="inlineStr">
        <is>
          <t>CLICK</t>
        </is>
      </c>
      <c r="E97" s="50" t="inlineStr">
        <is>
          <t>Post Opening</t>
        </is>
      </c>
      <c r="F97" s="52" t="inlineStr"/>
      <c r="G97" s="52" t="inlineStr">
        <is>
          <t>Job posted internally</t>
        </is>
      </c>
      <c r="H97" s="50" t="inlineStr"/>
      <c r="I97" s="53" t="inlineStr"/>
      <c r="J97" s="50" t="inlineStr"/>
    </row>
    <row r="98" ht="18" customHeight="1">
      <c r="A98" s="47" t="n">
        <v>94</v>
      </c>
      <c r="B98" s="50" t="inlineStr">
        <is>
          <t>Recruitment</t>
        </is>
      </c>
      <c r="C98" s="50" t="inlineStr">
        <is>
          <t>/hr/recruitment</t>
        </is>
      </c>
      <c r="D98" s="55" t="inlineStr">
        <is>
          <t>CLICK</t>
        </is>
      </c>
      <c r="E98" s="50" t="inlineStr">
        <is>
          <t>Add Candidate</t>
        </is>
      </c>
      <c r="F98" s="52" t="inlineStr"/>
      <c r="G98" s="52" t="inlineStr">
        <is>
          <t>Candidate form</t>
        </is>
      </c>
      <c r="H98" s="50" t="inlineStr"/>
      <c r="I98" s="53" t="inlineStr"/>
      <c r="J98" s="50" t="inlineStr"/>
    </row>
    <row r="99" ht="18" customHeight="1">
      <c r="A99" s="47" t="n">
        <v>95</v>
      </c>
      <c r="B99" s="50" t="inlineStr">
        <is>
          <t>Recruitment</t>
        </is>
      </c>
      <c r="C99" s="50" t="inlineStr">
        <is>
          <t>/hr/recruitment</t>
        </is>
      </c>
      <c r="D99" s="56" t="inlineStr">
        <is>
          <t>ENTER</t>
        </is>
      </c>
      <c r="E99" s="50" t="inlineStr">
        <is>
          <t>Candidate Name</t>
        </is>
      </c>
      <c r="F99" s="52" t="inlineStr">
        <is>
          <t>Prakash Kumar</t>
        </is>
      </c>
      <c r="G99" s="52" t="inlineStr"/>
      <c r="H99" s="50" t="inlineStr"/>
      <c r="I99" s="53" t="inlineStr"/>
      <c r="J99" s="50" t="inlineStr"/>
    </row>
    <row r="100" ht="18" customHeight="1">
      <c r="A100" s="47" t="n">
        <v>96</v>
      </c>
      <c r="B100" s="50" t="inlineStr">
        <is>
          <t>Recruitment</t>
        </is>
      </c>
      <c r="C100" s="50" t="inlineStr">
        <is>
          <t>/hr/recruitment</t>
        </is>
      </c>
      <c r="D100" s="56" t="inlineStr">
        <is>
          <t>ENTER</t>
        </is>
      </c>
      <c r="E100" s="50" t="inlineStr">
        <is>
          <t>Mobile</t>
        </is>
      </c>
      <c r="F100" s="52" t="inlineStr">
        <is>
          <t>9988776655</t>
        </is>
      </c>
      <c r="G100" s="52" t="inlineStr"/>
      <c r="H100" s="50" t="inlineStr"/>
      <c r="I100" s="53" t="inlineStr"/>
      <c r="J100" s="50" t="inlineStr"/>
    </row>
    <row r="101" ht="18" customHeight="1">
      <c r="A101" s="47" t="n">
        <v>97</v>
      </c>
      <c r="B101" s="50" t="inlineStr">
        <is>
          <t>Recruitment</t>
        </is>
      </c>
      <c r="C101" s="50" t="inlineStr">
        <is>
          <t>/hr/recruitment</t>
        </is>
      </c>
      <c r="D101" s="56" t="inlineStr">
        <is>
          <t>ENTER</t>
        </is>
      </c>
      <c r="E101" s="50" t="inlineStr">
        <is>
          <t>Experience</t>
        </is>
      </c>
      <c r="F101" s="52" t="inlineStr">
        <is>
          <t>3 years stone setting</t>
        </is>
      </c>
      <c r="G101" s="52" t="inlineStr"/>
      <c r="H101" s="50" t="inlineStr"/>
      <c r="I101" s="53" t="inlineStr"/>
      <c r="J101" s="50" t="inlineStr"/>
    </row>
    <row r="102" ht="18" customHeight="1">
      <c r="A102" s="47" t="n">
        <v>98</v>
      </c>
      <c r="B102" s="50" t="inlineStr">
        <is>
          <t>Recruitment</t>
        </is>
      </c>
      <c r="C102" s="50" t="inlineStr">
        <is>
          <t>/hr/recruitment</t>
        </is>
      </c>
      <c r="D102" s="55" t="inlineStr">
        <is>
          <t>CLICK</t>
        </is>
      </c>
      <c r="E102" s="50" t="inlineStr">
        <is>
          <t>Mark as Selected</t>
        </is>
      </c>
      <c r="F102" s="52" t="inlineStr"/>
      <c r="G102" s="52" t="inlineStr">
        <is>
          <t>Candidate selected. Offer letter generated.</t>
        </is>
      </c>
      <c r="H102" s="50" t="inlineStr"/>
      <c r="I102" s="53" t="inlineStr"/>
      <c r="J102" s="50" t="inlineStr"/>
    </row>
    <row r="103" ht="18" customHeight="1">
      <c r="A103" s="47" t="n">
        <v>99</v>
      </c>
      <c r="B103" s="50" t="inlineStr">
        <is>
          <t>Employees</t>
        </is>
      </c>
      <c r="C103" s="50" t="inlineStr">
        <is>
          <t>/hr/support</t>
        </is>
      </c>
      <c r="D103" s="54" t="inlineStr">
        <is>
          <t>NAVIGATE</t>
        </is>
      </c>
      <c r="E103" s="50" t="inlineStr"/>
      <c r="F103" s="52" t="inlineStr"/>
      <c r="G103" s="52" t="inlineStr">
        <is>
          <t>HR Support Desk</t>
        </is>
      </c>
      <c r="H103" s="50" t="inlineStr"/>
      <c r="I103" s="53" t="inlineStr"/>
      <c r="J103" s="50" t="inlineStr"/>
    </row>
    <row r="104" ht="18" customHeight="1">
      <c r="A104" s="47" t="n">
        <v>100</v>
      </c>
      <c r="B104" s="50" t="inlineStr">
        <is>
          <t>Employees</t>
        </is>
      </c>
      <c r="C104" s="50" t="inlineStr">
        <is>
          <t>/hr/support</t>
        </is>
      </c>
      <c r="D104" s="55" t="inlineStr">
        <is>
          <t>CLICK</t>
        </is>
      </c>
      <c r="E104" s="50" t="inlineStr">
        <is>
          <t>+ New HR Ticket — Raju Goldsmith</t>
        </is>
      </c>
      <c r="F104" s="52" t="inlineStr"/>
      <c r="G104" s="52" t="inlineStr"/>
      <c r="H104" s="50" t="inlineStr"/>
      <c r="I104" s="53" t="inlineStr"/>
      <c r="J104" s="50" t="inlineStr"/>
    </row>
    <row r="105" ht="18" customHeight="1">
      <c r="A105" s="47" t="n">
        <v>101</v>
      </c>
      <c r="B105" s="50" t="inlineStr">
        <is>
          <t>Employees</t>
        </is>
      </c>
      <c r="C105" s="50" t="inlineStr">
        <is>
          <t>/hr/support</t>
        </is>
      </c>
      <c r="D105" s="56" t="inlineStr">
        <is>
          <t>ENTER</t>
        </is>
      </c>
      <c r="E105" s="50" t="inlineStr">
        <is>
          <t>Issue</t>
        </is>
      </c>
      <c r="F105" s="52" t="inlineStr">
        <is>
          <t>PF passbook not updated</t>
        </is>
      </c>
      <c r="G105" s="52" t="inlineStr"/>
      <c r="H105" s="50" t="inlineStr"/>
      <c r="I105" s="53" t="inlineStr"/>
      <c r="J105" s="50" t="inlineStr"/>
    </row>
    <row r="106" ht="18" customHeight="1">
      <c r="A106" s="47" t="n">
        <v>102</v>
      </c>
      <c r="B106" s="50" t="inlineStr">
        <is>
          <t>Employees</t>
        </is>
      </c>
      <c r="C106" s="50" t="inlineStr">
        <is>
          <t>/hr/support</t>
        </is>
      </c>
      <c r="D106" s="55" t="inlineStr">
        <is>
          <t>CLICK</t>
        </is>
      </c>
      <c r="E106" s="50" t="inlineStr">
        <is>
          <t>Submit</t>
        </is>
      </c>
      <c r="F106" s="52" t="inlineStr"/>
      <c r="G106" s="52" t="inlineStr">
        <is>
          <t>Ticket raised to HR. Auto-escalation in 48 hrs if unresolved.</t>
        </is>
      </c>
      <c r="H106" s="50" t="inlineStr"/>
      <c r="I106" s="53" t="inlineStr"/>
      <c r="J106" s="50" t="inlineStr"/>
    </row>
    <row r="107" ht="18" customHeight="1">
      <c r="A107" s="47" t="n">
        <v>103</v>
      </c>
      <c r="B107" s="50" t="inlineStr">
        <is>
          <t>Employees</t>
        </is>
      </c>
      <c r="C107" s="50" t="inlineStr">
        <is>
          <t>/hr/support</t>
        </is>
      </c>
      <c r="D107" s="55" t="inlineStr">
        <is>
          <t>CLICK</t>
        </is>
      </c>
      <c r="E107" s="50" t="inlineStr">
        <is>
          <t>Resolve Ticket</t>
        </is>
      </c>
      <c r="F107" s="52" t="inlineStr"/>
      <c r="G107" s="52" t="inlineStr">
        <is>
          <t>Mark resolved with resolution note</t>
        </is>
      </c>
      <c r="H107" s="50" t="inlineStr"/>
      <c r="I107" s="53" t="inlineStr"/>
      <c r="J107" s="50" t="inlineStr"/>
    </row>
    <row r="108" ht="32" customHeight="1">
      <c r="A108" s="47" t="n">
        <v>104</v>
      </c>
      <c r="B108" s="50" t="inlineStr">
        <is>
          <t>Employees</t>
        </is>
      </c>
      <c r="C108" s="50" t="inlineStr">
        <is>
          <t>/hr/support</t>
        </is>
      </c>
      <c r="D108" s="51" t="inlineStr">
        <is>
          <t>ASSERT</t>
        </is>
      </c>
      <c r="E108" s="50" t="inlineStr">
        <is>
          <t>CSAT auto-sent</t>
        </is>
      </c>
      <c r="F108" s="52" t="inlineStr">
        <is>
          <t>WhatsApp to 9876543210 — rate your HR experience</t>
        </is>
      </c>
      <c r="G108" s="57" t="inlineStr"/>
      <c r="H108" s="50" t="inlineStr"/>
      <c r="I108" s="53" t="inlineStr"/>
      <c r="J108" s="50" t="inlineStr"/>
    </row>
  </sheetData>
  <mergeCells count="12">
    <mergeCell ref="A85:J85"/>
    <mergeCell ref="A1:J1"/>
    <mergeCell ref="A75:J75"/>
    <mergeCell ref="A31:J31"/>
    <mergeCell ref="A6:J6"/>
    <mergeCell ref="A53:J53"/>
    <mergeCell ref="A69:J69"/>
    <mergeCell ref="A91:J91"/>
    <mergeCell ref="A24:J24"/>
    <mergeCell ref="A2:J2"/>
    <mergeCell ref="A60:J60"/>
    <mergeCell ref="A41:J4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19: E-Commerce Full Customer Journey</t>
        </is>
      </c>
    </row>
    <row r="2" ht="16" customHeight="1">
      <c r="A2" s="46" t="inlineStr">
        <is>
          <t>Customer registration → browse → wishlist → cart → coupon → Razorpay payment → order confirmation → ERP sync → dispatch → delivery</t>
        </is>
      </c>
    </row>
    <row r="3" ht="18" customHeight="1">
      <c r="A3" s="47" t="inlineStr">
        <is>
          <t>Flow</t>
        </is>
      </c>
      <c r="B3" s="48" t="inlineStr">
        <is>
          <t>F19</t>
        </is>
      </c>
      <c r="C3" s="47" t="inlineStr">
        <is>
          <t>Steps</t>
        </is>
      </c>
      <c r="D3" s="48" t="n">
        <v>49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60" customHeight="1">
      <c r="A5" s="47" t="n">
        <v>1</v>
      </c>
      <c r="B5" s="50" t="inlineStr">
        <is>
          <t>E-Commerce Store</t>
        </is>
      </c>
      <c r="C5" s="50" t="inlineStr">
        <is>
          <t>/ecom</t>
        </is>
      </c>
      <c r="D5" s="58" t="inlineStr">
        <is>
          <t>NOTE</t>
        </is>
      </c>
      <c r="E5" s="50" t="inlineStr">
        <is>
          <t>SETUP</t>
        </is>
      </c>
      <c r="F5" s="52" t="inlineStr">
        <is>
          <t>Prerequisite: DT-0059 (22K Necklace, 16.2gm) listed on store. Coupon DIWALI10 = 10% off making charges. Store live at swacherp.store/xyz.</t>
        </is>
      </c>
      <c r="G5" s="52" t="inlineStr"/>
      <c r="H5" s="50" t="inlineStr"/>
      <c r="I5" s="53" t="inlineStr"/>
      <c r="J5" s="50" t="inlineStr"/>
    </row>
    <row r="6" ht="16" customHeight="1">
      <c r="A6" s="70" t="inlineStr">
        <is>
          <t xml:space="preserve">  ▸  — CUSTOMER REGISTRATION —</t>
        </is>
      </c>
    </row>
    <row r="7" ht="18" customHeight="1">
      <c r="A7" s="47" t="n">
        <v>3</v>
      </c>
      <c r="B7" s="50" t="inlineStr">
        <is>
          <t>E-Commerce Store</t>
        </is>
      </c>
      <c r="C7" s="50" t="inlineStr">
        <is>
          <t>/ecom/register</t>
        </is>
      </c>
      <c r="D7" s="54" t="inlineStr">
        <is>
          <t>NAVIGATE</t>
        </is>
      </c>
      <c r="E7" s="50" t="inlineStr"/>
      <c r="F7" s="52" t="inlineStr"/>
      <c r="G7" s="52" t="inlineStr">
        <is>
          <t>E-commerce store registration page</t>
        </is>
      </c>
      <c r="H7" s="50" t="inlineStr"/>
      <c r="I7" s="53" t="inlineStr"/>
      <c r="J7" s="50" t="inlineStr">
        <is>
          <t>Open in browser incognito</t>
        </is>
      </c>
    </row>
    <row r="8" ht="18" customHeight="1">
      <c r="A8" s="47" t="n">
        <v>4</v>
      </c>
      <c r="B8" s="50" t="inlineStr">
        <is>
          <t>E-Commerce Store</t>
        </is>
      </c>
      <c r="C8" s="50" t="inlineStr">
        <is>
          <t>/ecom/register</t>
        </is>
      </c>
      <c r="D8" s="56" t="inlineStr">
        <is>
          <t>ENTER</t>
        </is>
      </c>
      <c r="E8" s="50" t="inlineStr">
        <is>
          <t>Full Name</t>
        </is>
      </c>
      <c r="F8" s="52" t="inlineStr">
        <is>
          <t>Arjun Mehta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E-Commerce Store</t>
        </is>
      </c>
      <c r="C9" s="50" t="inlineStr">
        <is>
          <t>/ecom/register</t>
        </is>
      </c>
      <c r="D9" s="56" t="inlineStr">
        <is>
          <t>ENTER</t>
        </is>
      </c>
      <c r="E9" s="50" t="inlineStr">
        <is>
          <t>Mobile</t>
        </is>
      </c>
      <c r="F9" s="52" t="inlineStr">
        <is>
          <t>9001234567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E-Commerce Store</t>
        </is>
      </c>
      <c r="C10" s="50" t="inlineStr">
        <is>
          <t>/ecom/register</t>
        </is>
      </c>
      <c r="D10" s="55" t="inlineStr">
        <is>
          <t>CLICK</t>
        </is>
      </c>
      <c r="E10" s="50" t="inlineStr">
        <is>
          <t>Send OTP</t>
        </is>
      </c>
      <c r="F10" s="52" t="inlineStr"/>
      <c r="G10" s="52" t="inlineStr">
        <is>
          <t>OTP sent to 9001234567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E-Commerce Store</t>
        </is>
      </c>
      <c r="C11" s="50" t="inlineStr">
        <is>
          <t>/ecom/register</t>
        </is>
      </c>
      <c r="D11" s="56" t="inlineStr">
        <is>
          <t>ENTER</t>
        </is>
      </c>
      <c r="E11" s="50" t="inlineStr">
        <is>
          <t>OTP</t>
        </is>
      </c>
      <c r="F11" s="52" t="inlineStr">
        <is>
          <t>123456</t>
        </is>
      </c>
      <c r="G11" s="52" t="inlineStr">
        <is>
          <t>Use test OTP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E-Commerce Store</t>
        </is>
      </c>
      <c r="C12" s="50" t="inlineStr">
        <is>
          <t>/ecom/register</t>
        </is>
      </c>
      <c r="D12" s="56" t="inlineStr">
        <is>
          <t>ENTER</t>
        </is>
      </c>
      <c r="E12" s="50" t="inlineStr">
        <is>
          <t>Email</t>
        </is>
      </c>
      <c r="F12" s="52" t="inlineStr">
        <is>
          <t>arjun.mehta@gmail.com</t>
        </is>
      </c>
      <c r="G12" s="52" t="inlineStr"/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E-Commerce Store</t>
        </is>
      </c>
      <c r="C13" s="50" t="inlineStr">
        <is>
          <t>/ecom/register</t>
        </is>
      </c>
      <c r="D13" s="56" t="inlineStr">
        <is>
          <t>ENTER</t>
        </is>
      </c>
      <c r="E13" s="50" t="inlineStr">
        <is>
          <t>City</t>
        </is>
      </c>
      <c r="F13" s="52" t="inlineStr">
        <is>
          <t>Hyderabad</t>
        </is>
      </c>
      <c r="G13" s="52" t="inlineStr"/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E-Commerce Store</t>
        </is>
      </c>
      <c r="C14" s="50" t="inlineStr">
        <is>
          <t>/ecom/register</t>
        </is>
      </c>
      <c r="D14" s="56" t="inlineStr">
        <is>
          <t>ENTER</t>
        </is>
      </c>
      <c r="E14" s="50" t="inlineStr">
        <is>
          <t>Preferred Metal</t>
        </is>
      </c>
      <c r="F14" s="52" t="inlineStr">
        <is>
          <t>22K Gold</t>
        </is>
      </c>
      <c r="G14" s="52" t="inlineStr"/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E-Commerce Store</t>
        </is>
      </c>
      <c r="C15" s="50" t="inlineStr">
        <is>
          <t>/ecom/register</t>
        </is>
      </c>
      <c r="D15" s="55" t="inlineStr">
        <is>
          <t>CLICK</t>
        </is>
      </c>
      <c r="E15" s="50" t="inlineStr">
        <is>
          <t>Register</t>
        </is>
      </c>
      <c r="F15" s="52" t="inlineStr"/>
      <c r="G15" s="52" t="inlineStr">
        <is>
          <t>Account created. Welcome WhatsApp sent to 9001234567.</t>
        </is>
      </c>
      <c r="H15" s="50" t="inlineStr"/>
      <c r="I15" s="53" t="inlineStr"/>
      <c r="J15" s="50" t="inlineStr"/>
    </row>
    <row r="16" ht="32" customHeight="1">
      <c r="A16" s="47" t="n">
        <v>12</v>
      </c>
      <c r="B16" s="50" t="inlineStr">
        <is>
          <t>E-Commerce Store</t>
        </is>
      </c>
      <c r="C16" s="50" t="inlineStr">
        <is>
          <t>/ecom/register</t>
        </is>
      </c>
      <c r="D16" s="51" t="inlineStr">
        <is>
          <t>ASSERT</t>
        </is>
      </c>
      <c r="E16" s="50" t="inlineStr">
        <is>
          <t>Welcome message</t>
        </is>
      </c>
      <c r="F16" s="52" t="inlineStr">
        <is>
          <t>WhatsApp: 'Welcome to our store, Arjun! Browse our collection...'</t>
        </is>
      </c>
      <c r="G16" s="57" t="inlineStr">
        <is>
          <t>Auto-triggered on registration</t>
        </is>
      </c>
      <c r="H16" s="50" t="inlineStr"/>
      <c r="I16" s="53" t="inlineStr"/>
      <c r="J16" s="50" t="inlineStr"/>
    </row>
    <row r="17" ht="16" customHeight="1">
      <c r="A17" s="70" t="inlineStr">
        <is>
          <t xml:space="preserve">  ▸  — BROWSE + WISHLIST —</t>
        </is>
      </c>
    </row>
    <row r="18" ht="18" customHeight="1">
      <c r="A18" s="47" t="n">
        <v>14</v>
      </c>
      <c r="B18" s="50" t="inlineStr">
        <is>
          <t>E-Commerce Store</t>
        </is>
      </c>
      <c r="C18" s="50" t="inlineStr">
        <is>
          <t>/ecom</t>
        </is>
      </c>
      <c r="D18" s="54" t="inlineStr">
        <is>
          <t>NAVIGATE</t>
        </is>
      </c>
      <c r="E18" s="50" t="inlineStr"/>
      <c r="F18" s="52" t="inlineStr"/>
      <c r="G18" s="52" t="inlineStr">
        <is>
          <t>Store home page — logged in as Arjun Mehta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E-Commerce Store</t>
        </is>
      </c>
      <c r="C19" s="50" t="inlineStr">
        <is>
          <t>/ecom</t>
        </is>
      </c>
      <c r="D19" s="56" t="inlineStr">
        <is>
          <t>ENTER</t>
        </is>
      </c>
      <c r="E19" s="50" t="inlineStr">
        <is>
          <t>Filter</t>
        </is>
      </c>
      <c r="F19" s="52" t="inlineStr">
        <is>
          <t>22K Gold — Necklaces</t>
        </is>
      </c>
      <c r="G19" s="52" t="inlineStr"/>
      <c r="H19" s="50" t="inlineStr"/>
      <c r="I19" s="53" t="inlineStr"/>
      <c r="J19" s="50" t="inlineStr"/>
    </row>
    <row r="20" ht="32" customHeight="1">
      <c r="A20" s="47" t="n">
        <v>16</v>
      </c>
      <c r="B20" s="50" t="inlineStr">
        <is>
          <t>E-Commerce Store</t>
        </is>
      </c>
      <c r="C20" s="50" t="inlineStr">
        <is>
          <t>/ecom</t>
        </is>
      </c>
      <c r="D20" s="51" t="inlineStr">
        <is>
          <t>ASSERT</t>
        </is>
      </c>
      <c r="E20" s="50" t="inlineStr">
        <is>
          <t>DT-0059 visible</t>
        </is>
      </c>
      <c r="F20" s="52" t="inlineStr">
        <is>
          <t>22K Necklace 16.2gm — price auto-calculated</t>
        </is>
      </c>
      <c r="G20" s="57" t="inlineStr">
        <is>
          <t>Based on ₹6,820/gm live rate</t>
        </is>
      </c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E-Commerce Store</t>
        </is>
      </c>
      <c r="C21" s="50" t="inlineStr">
        <is>
          <t>/ecom</t>
        </is>
      </c>
      <c r="D21" s="55" t="inlineStr">
        <is>
          <t>CLICK</t>
        </is>
      </c>
      <c r="E21" s="50" t="inlineStr">
        <is>
          <t>View Product — DT-0059</t>
        </is>
      </c>
      <c r="F21" s="52" t="inlineStr"/>
      <c r="G21" s="52" t="inlineStr">
        <is>
          <t>Product detail page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E-Commerce Store</t>
        </is>
      </c>
      <c r="C22" s="50" t="inlineStr">
        <is>
          <t>/ecom</t>
        </is>
      </c>
      <c r="D22" s="51" t="inlineStr">
        <is>
          <t>ASSERT</t>
        </is>
      </c>
      <c r="E22" s="50" t="inlineStr">
        <is>
          <t>Gold value (live)</t>
        </is>
      </c>
      <c r="F22" s="52" t="inlineStr">
        <is>
          <t>₹1,01,622</t>
        </is>
      </c>
      <c r="G22" s="57" t="inlineStr">
        <is>
          <t>16.2 × 6820 × 0.916 = auto-calculated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E-Commerce Store</t>
        </is>
      </c>
      <c r="C23" s="50" t="inlineStr">
        <is>
          <t>/ecom</t>
        </is>
      </c>
      <c r="D23" s="51" t="inlineStr">
        <is>
          <t>ASSERT</t>
        </is>
      </c>
      <c r="E23" s="50" t="inlineStr">
        <is>
          <t>Making charges</t>
        </is>
      </c>
      <c r="F23" s="52" t="inlineStr">
        <is>
          <t>₹7,290</t>
        </is>
      </c>
      <c r="G23" s="57" t="inlineStr">
        <is>
          <t>16.2 × ₹450/gm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E-Commerce Store</t>
        </is>
      </c>
      <c r="C24" s="50" t="inlineStr">
        <is>
          <t>/ecom</t>
        </is>
      </c>
      <c r="D24" s="51" t="inlineStr">
        <is>
          <t>ASSERT</t>
        </is>
      </c>
      <c r="E24" s="50" t="inlineStr">
        <is>
          <t>Total price (auto)</t>
        </is>
      </c>
      <c r="F24" s="52" t="inlineStr">
        <is>
          <t>₹1,12,282</t>
        </is>
      </c>
      <c r="G24" s="57" t="inlineStr">
        <is>
          <t>Gold + making + GST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E-Commerce Store</t>
        </is>
      </c>
      <c r="C25" s="50" t="inlineStr">
        <is>
          <t>/ecom</t>
        </is>
      </c>
      <c r="D25" s="51" t="inlineStr">
        <is>
          <t>ASSERT</t>
        </is>
      </c>
      <c r="E25" s="50" t="inlineStr">
        <is>
          <t>Rate timestamp</t>
        </is>
      </c>
      <c r="F25" s="52" t="inlineStr">
        <is>
          <t>'Price as of HH:MM today'</t>
        </is>
      </c>
      <c r="G25" s="57" t="inlineStr">
        <is>
          <t>Rate source shown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E-Commerce Store</t>
        </is>
      </c>
      <c r="C26" s="50" t="inlineStr">
        <is>
          <t>/ecom</t>
        </is>
      </c>
      <c r="D26" s="55" t="inlineStr">
        <is>
          <t>CLICK</t>
        </is>
      </c>
      <c r="E26" s="50" t="inlineStr">
        <is>
          <t>Add to Wishlist</t>
        </is>
      </c>
      <c r="F26" s="52" t="inlineStr"/>
      <c r="G26" s="52" t="inlineStr">
        <is>
          <t>♥ Added to wishlist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E-Commerce Store</t>
        </is>
      </c>
      <c r="C27" s="50" t="inlineStr">
        <is>
          <t>/ecom</t>
        </is>
      </c>
      <c r="D27" s="51" t="inlineStr">
        <is>
          <t>ASSERT</t>
        </is>
      </c>
      <c r="E27" s="50" t="inlineStr">
        <is>
          <t>Wishlist count</t>
        </is>
      </c>
      <c r="F27" s="52" t="inlineStr">
        <is>
          <t>1 item</t>
        </is>
      </c>
      <c r="G27" s="57" t="inlineStr">
        <is>
          <t>Wishlist icon badge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E-Commerce Store</t>
        </is>
      </c>
      <c r="C28" s="50" t="inlineStr">
        <is>
          <t>/ecom</t>
        </is>
      </c>
      <c r="D28" s="55" t="inlineStr">
        <is>
          <t>CLICK</t>
        </is>
      </c>
      <c r="E28" s="50" t="inlineStr">
        <is>
          <t>Share on WhatsApp</t>
        </is>
      </c>
      <c r="F28" s="52" t="inlineStr"/>
      <c r="G28" s="52" t="inlineStr">
        <is>
          <t>WhatsApp share link opens with product image + price</t>
        </is>
      </c>
      <c r="H28" s="50" t="inlineStr"/>
      <c r="I28" s="53" t="inlineStr"/>
      <c r="J28" s="50" t="inlineStr"/>
    </row>
    <row r="29" ht="16" customHeight="1">
      <c r="A29" s="70" t="inlineStr">
        <is>
          <t xml:space="preserve">  ▸  — CART + COUPON + CHECKOUT —</t>
        </is>
      </c>
    </row>
    <row r="30" ht="18" customHeight="1">
      <c r="A30" s="47" t="n">
        <v>26</v>
      </c>
      <c r="B30" s="50" t="inlineStr">
        <is>
          <t>E-Commerce Store</t>
        </is>
      </c>
      <c r="C30" s="50" t="inlineStr">
        <is>
          <t>/ecom/cart</t>
        </is>
      </c>
      <c r="D30" s="55" t="inlineStr">
        <is>
          <t>CLICK</t>
        </is>
      </c>
      <c r="E30" s="50" t="inlineStr">
        <is>
          <t>Add to Cart — DT-0059</t>
        </is>
      </c>
      <c r="F30" s="52" t="inlineStr"/>
      <c r="G30" s="52" t="inlineStr">
        <is>
          <t>Item added to cart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E-Commerce Store</t>
        </is>
      </c>
      <c r="C31" s="50" t="inlineStr">
        <is>
          <t>/ecom/cart</t>
        </is>
      </c>
      <c r="D31" s="51" t="inlineStr">
        <is>
          <t>ASSERT</t>
        </is>
      </c>
      <c r="E31" s="50" t="inlineStr">
        <is>
          <t>Rate lock timer</t>
        </is>
      </c>
      <c r="F31" s="52" t="inlineStr">
        <is>
          <t>'Price locked for 30 minutes'</t>
        </is>
      </c>
      <c r="G31" s="57" t="inlineStr">
        <is>
          <t>Countdown timer starts</t>
        </is>
      </c>
      <c r="H31" s="50" t="inlineStr"/>
      <c r="I31" s="53" t="inlineStr"/>
      <c r="J31" s="50" t="inlineStr">
        <is>
          <t>CRITICAL: verify timer</t>
        </is>
      </c>
    </row>
    <row r="32" ht="18" customHeight="1">
      <c r="A32" s="47" t="n">
        <v>28</v>
      </c>
      <c r="B32" s="50" t="inlineStr">
        <is>
          <t>E-Commerce Store</t>
        </is>
      </c>
      <c r="C32" s="50" t="inlineStr">
        <is>
          <t>/ecom/cart</t>
        </is>
      </c>
      <c r="D32" s="56" t="inlineStr">
        <is>
          <t>ENTER</t>
        </is>
      </c>
      <c r="E32" s="50" t="inlineStr">
        <is>
          <t>Coupon Code</t>
        </is>
      </c>
      <c r="F32" s="52" t="inlineStr">
        <is>
          <t>DIWALI10</t>
        </is>
      </c>
      <c r="G32" s="52" t="inlineStr">
        <is>
          <t>10% off making charges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E-Commerce Store</t>
        </is>
      </c>
      <c r="C33" s="50" t="inlineStr">
        <is>
          <t>/ecom/cart</t>
        </is>
      </c>
      <c r="D33" s="55" t="inlineStr">
        <is>
          <t>CLICK</t>
        </is>
      </c>
      <c r="E33" s="50" t="inlineStr">
        <is>
          <t>Apply Coupon</t>
        </is>
      </c>
      <c r="F33" s="52" t="inlineStr"/>
      <c r="G33" s="52" t="inlineStr">
        <is>
          <t>Coupon applied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E-Commerce Store</t>
        </is>
      </c>
      <c r="C34" s="50" t="inlineStr">
        <is>
          <t>/ecom/cart</t>
        </is>
      </c>
      <c r="D34" s="51" t="inlineStr">
        <is>
          <t>ASSERT</t>
        </is>
      </c>
      <c r="E34" s="50" t="inlineStr">
        <is>
          <t>Discount applied</t>
        </is>
      </c>
      <c r="F34" s="52" t="inlineStr">
        <is>
          <t>−₹729</t>
        </is>
      </c>
      <c r="G34" s="57" t="inlineStr">
        <is>
          <t>10% of ₹7,290 making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E-Commerce Store</t>
        </is>
      </c>
      <c r="C35" s="50" t="inlineStr">
        <is>
          <t>/ecom/cart</t>
        </is>
      </c>
      <c r="D35" s="51" t="inlineStr">
        <is>
          <t>ASSERT</t>
        </is>
      </c>
      <c r="E35" s="50" t="inlineStr">
        <is>
          <t>New total</t>
        </is>
      </c>
      <c r="F35" s="52" t="inlineStr">
        <is>
          <t>₹1,11,553</t>
        </is>
      </c>
      <c r="G35" s="57" t="inlineStr">
        <is>
          <t>₹1,12,282 − ₹729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E-Commerce Store</t>
        </is>
      </c>
      <c r="C36" s="50" t="inlineStr">
        <is>
          <t>/ecom/cart</t>
        </is>
      </c>
      <c r="D36" s="55" t="inlineStr">
        <is>
          <t>CLICK</t>
        </is>
      </c>
      <c r="E36" s="50" t="inlineStr">
        <is>
          <t>Proceed to Checkout</t>
        </is>
      </c>
      <c r="F36" s="52" t="inlineStr"/>
      <c r="G36" s="52" t="inlineStr">
        <is>
          <t>Checkout page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E-Commerce Store</t>
        </is>
      </c>
      <c r="C37" s="50" t="inlineStr">
        <is>
          <t>/ecom/cart</t>
        </is>
      </c>
      <c r="D37" s="56" t="inlineStr">
        <is>
          <t>ENTER</t>
        </is>
      </c>
      <c r="E37" s="50" t="inlineStr">
        <is>
          <t>Delivery address</t>
        </is>
      </c>
      <c r="F37" s="52" t="inlineStr">
        <is>
          <t>Flat 4B, Hitech City, Hyderabad — 500081</t>
        </is>
      </c>
      <c r="G37" s="52" t="inlineStr"/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E-Commerce Store</t>
        </is>
      </c>
      <c r="C38" s="50" t="inlineStr">
        <is>
          <t>/ecom/cart</t>
        </is>
      </c>
      <c r="D38" s="56" t="inlineStr">
        <is>
          <t>ENTER</t>
        </is>
      </c>
      <c r="E38" s="50" t="inlineStr">
        <is>
          <t>Payment method</t>
        </is>
      </c>
      <c r="F38" s="52" t="inlineStr">
        <is>
          <t>UPI — Razorpay</t>
        </is>
      </c>
      <c r="G38" s="52" t="inlineStr"/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E-Commerce Store</t>
        </is>
      </c>
      <c r="C39" s="50" t="inlineStr">
        <is>
          <t>/ecom/cart</t>
        </is>
      </c>
      <c r="D39" s="55" t="inlineStr">
        <is>
          <t>CLICK</t>
        </is>
      </c>
      <c r="E39" s="50" t="inlineStr">
        <is>
          <t>Place Order</t>
        </is>
      </c>
      <c r="F39" s="52" t="inlineStr"/>
      <c r="G39" s="52" t="inlineStr">
        <is>
          <t>Razorpay payment modal opens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E-Commerce Store</t>
        </is>
      </c>
      <c r="C40" s="50" t="inlineStr">
        <is>
          <t>/ecom/cart</t>
        </is>
      </c>
      <c r="D40" s="56" t="inlineStr">
        <is>
          <t>ENTER</t>
        </is>
      </c>
      <c r="E40" s="50" t="inlineStr">
        <is>
          <t>UPI ID (test mode)</t>
        </is>
      </c>
      <c r="F40" s="52" t="inlineStr">
        <is>
          <t>success@razorpay</t>
        </is>
      </c>
      <c r="G40" s="52" t="inlineStr">
        <is>
          <t>Razorpay test UPI</t>
        </is>
      </c>
      <c r="H40" s="50" t="inlineStr"/>
      <c r="I40" s="53" t="inlineStr"/>
      <c r="J40" s="50" t="inlineStr"/>
    </row>
    <row r="41" ht="18" customHeight="1">
      <c r="A41" s="47" t="n">
        <v>37</v>
      </c>
      <c r="B41" s="50" t="inlineStr">
        <is>
          <t>E-Commerce Store</t>
        </is>
      </c>
      <c r="C41" s="50" t="inlineStr">
        <is>
          <t>/ecom/cart</t>
        </is>
      </c>
      <c r="D41" s="55" t="inlineStr">
        <is>
          <t>CLICK</t>
        </is>
      </c>
      <c r="E41" s="50" t="inlineStr">
        <is>
          <t>Pay ₹1,11,553</t>
        </is>
      </c>
      <c r="F41" s="52" t="inlineStr"/>
      <c r="G41" s="52" t="inlineStr">
        <is>
          <t>Payment processed</t>
        </is>
      </c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E-Commerce Store</t>
        </is>
      </c>
      <c r="C42" s="50" t="inlineStr">
        <is>
          <t>/ecom/cart</t>
        </is>
      </c>
      <c r="D42" s="51" t="inlineStr">
        <is>
          <t>ASSERT</t>
        </is>
      </c>
      <c r="E42" s="50" t="inlineStr">
        <is>
          <t>Order confirmation</t>
        </is>
      </c>
      <c r="F42" s="52" t="inlineStr">
        <is>
          <t>ECOM-ORD-2024-0001 confirmed</t>
        </is>
      </c>
      <c r="G42" s="57" t="inlineStr">
        <is>
          <t>Order success page shown</t>
        </is>
      </c>
      <c r="H42" s="50" t="inlineStr"/>
      <c r="I42" s="53" t="inlineStr"/>
      <c r="J42" s="50" t="inlineStr"/>
    </row>
    <row r="43" ht="32" customHeight="1">
      <c r="A43" s="47" t="n">
        <v>39</v>
      </c>
      <c r="B43" s="50" t="inlineStr">
        <is>
          <t>E-Commerce Store</t>
        </is>
      </c>
      <c r="C43" s="50" t="inlineStr">
        <is>
          <t>/ecom/cart</t>
        </is>
      </c>
      <c r="D43" s="51" t="inlineStr">
        <is>
          <t>ASSERT</t>
        </is>
      </c>
      <c r="E43" s="50" t="inlineStr">
        <is>
          <t>Confirmation WhatsApp</t>
        </is>
      </c>
      <c r="F43" s="52" t="inlineStr">
        <is>
          <t>'Order ECOM-ORD-2024-0001 placed! We'll dispatch within 2 days.'</t>
        </is>
      </c>
      <c r="G43" s="57" t="inlineStr">
        <is>
          <t>Sent to 9001234567</t>
        </is>
      </c>
      <c r="H43" s="50" t="inlineStr"/>
      <c r="I43" s="53" t="inlineStr"/>
      <c r="J43" s="50" t="inlineStr"/>
    </row>
    <row r="44" ht="16" customHeight="1">
      <c r="A44" s="70" t="inlineStr">
        <is>
          <t xml:space="preserve">  ▸  — ERP SIDE: ORDER SYNC + DISPATCH —</t>
        </is>
      </c>
    </row>
    <row r="45" ht="32" customHeight="1">
      <c r="A45" s="47" t="n">
        <v>41</v>
      </c>
      <c r="B45" s="50" t="inlineStr">
        <is>
          <t>OMS Orders</t>
        </is>
      </c>
      <c r="C45" s="50" t="inlineStr">
        <is>
          <t>/gold-erp/oms-orders</t>
        </is>
      </c>
      <c r="D45" s="51" t="inlineStr">
        <is>
          <t>ASSERT</t>
        </is>
      </c>
      <c r="E45" s="50" t="inlineStr">
        <is>
          <t>ECOM-ORD-2024-0001 in OMS</t>
        </is>
      </c>
      <c r="F45" s="52" t="inlineStr">
        <is>
          <t>Customer: Arjun Mehta | DT-0059 | ₹1,11,553</t>
        </is>
      </c>
      <c r="G45" s="57" t="inlineStr">
        <is>
          <t>Auto-synced from e-commerce</t>
        </is>
      </c>
      <c r="H45" s="50" t="inlineStr"/>
      <c r="I45" s="53" t="inlineStr"/>
      <c r="J45" s="50" t="inlineStr">
        <is>
          <t>CRITICAL: sync must work</t>
        </is>
      </c>
    </row>
    <row r="46" ht="18" customHeight="1">
      <c r="A46" s="47" t="n">
        <v>42</v>
      </c>
      <c r="B46" s="50" t="inlineStr">
        <is>
          <t>E-Commerce Store</t>
        </is>
      </c>
      <c r="C46" s="50" t="inlineStr">
        <is>
          <t>/gold-erp/items</t>
        </is>
      </c>
      <c r="D46" s="51" t="inlineStr">
        <is>
          <t>ASSERT</t>
        </is>
      </c>
      <c r="E46" s="50" t="inlineStr">
        <is>
          <t>DT-0059 in inventory</t>
        </is>
      </c>
      <c r="F46" s="52" t="inlineStr">
        <is>
          <t>Status: Reserved (e-commerce order)</t>
        </is>
      </c>
      <c r="G46" s="57" t="inlineStr">
        <is>
          <t>Removed from available stock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OMS Orders</t>
        </is>
      </c>
      <c r="C47" s="50" t="inlineStr">
        <is>
          <t>/gold-erp/oms-orders</t>
        </is>
      </c>
      <c r="D47" s="55" t="inlineStr">
        <is>
          <t>CLICK</t>
        </is>
      </c>
      <c r="E47" s="50" t="inlineStr">
        <is>
          <t>Mark Dispatched — ECOM-ORD-2024-0001</t>
        </is>
      </c>
      <c r="F47" s="52" t="inlineStr"/>
      <c r="G47" s="52" t="inlineStr"/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OMS Orders</t>
        </is>
      </c>
      <c r="C48" s="50" t="inlineStr">
        <is>
          <t>/gold-erp/oms-orders</t>
        </is>
      </c>
      <c r="D48" s="56" t="inlineStr">
        <is>
          <t>ENTER</t>
        </is>
      </c>
      <c r="E48" s="50" t="inlineStr">
        <is>
          <t>AWB No</t>
        </is>
      </c>
      <c r="F48" s="52" t="inlineStr">
        <is>
          <t>DTDC-2024-123456</t>
        </is>
      </c>
      <c r="G48" s="52" t="inlineStr">
        <is>
          <t>Courier tracking number</t>
        </is>
      </c>
      <c r="H48" s="50" t="inlineStr"/>
      <c r="I48" s="53" t="inlineStr"/>
      <c r="J48" s="50" t="inlineStr"/>
    </row>
    <row r="49" ht="32" customHeight="1">
      <c r="A49" s="47" t="n">
        <v>45</v>
      </c>
      <c r="B49" s="50" t="inlineStr">
        <is>
          <t>OMS Orders</t>
        </is>
      </c>
      <c r="C49" s="50" t="inlineStr">
        <is>
          <t>/gold-erp/oms-orders</t>
        </is>
      </c>
      <c r="D49" s="51" t="inlineStr">
        <is>
          <t>ASSERT</t>
        </is>
      </c>
      <c r="E49" s="50" t="inlineStr">
        <is>
          <t>Customer WhatsApp</t>
        </is>
      </c>
      <c r="F49" s="52" t="inlineStr">
        <is>
          <t>'Your order is dispatched! Track: DTDC-2024-123456'</t>
        </is>
      </c>
      <c r="G49" s="57" t="inlineStr"/>
      <c r="H49" s="50" t="inlineStr"/>
      <c r="I49" s="53" t="inlineStr"/>
      <c r="J49" s="50" t="inlineStr"/>
    </row>
    <row r="50" ht="18" customHeight="1">
      <c r="A50" s="47" t="n">
        <v>46</v>
      </c>
      <c r="B50" s="50" t="inlineStr">
        <is>
          <t>E-Commerce Store</t>
        </is>
      </c>
      <c r="C50" s="50" t="inlineStr">
        <is>
          <t>/ecom/orders</t>
        </is>
      </c>
      <c r="D50" s="51" t="inlineStr">
        <is>
          <t>ASSERT</t>
        </is>
      </c>
      <c r="E50" s="50" t="inlineStr">
        <is>
          <t>Customer order tracking page</t>
        </is>
      </c>
      <c r="F50" s="52" t="inlineStr">
        <is>
          <t>Status: Dispatched — AWB shown</t>
        </is>
      </c>
      <c r="G50" s="57" t="inlineStr">
        <is>
          <t>Customer can track</t>
        </is>
      </c>
      <c r="H50" s="50" t="inlineStr"/>
      <c r="I50" s="53" t="inlineStr"/>
      <c r="J50" s="50" t="inlineStr"/>
    </row>
    <row r="51" ht="18" customHeight="1">
      <c r="A51" s="47" t="n">
        <v>47</v>
      </c>
      <c r="B51" s="50" t="inlineStr">
        <is>
          <t>OMS Orders</t>
        </is>
      </c>
      <c r="C51" s="50" t="inlineStr">
        <is>
          <t>/gold-erp/oms-orders</t>
        </is>
      </c>
      <c r="D51" s="55" t="inlineStr">
        <is>
          <t>CLICK</t>
        </is>
      </c>
      <c r="E51" s="50" t="inlineStr">
        <is>
          <t>Mark Delivered — ECOM-ORD-2024-0001</t>
        </is>
      </c>
      <c r="F51" s="52" t="inlineStr"/>
      <c r="G51" s="52" t="inlineStr"/>
      <c r="H51" s="50" t="inlineStr"/>
      <c r="I51" s="53" t="inlineStr"/>
      <c r="J51" s="50" t="inlineStr"/>
    </row>
    <row r="52" ht="18" customHeight="1">
      <c r="A52" s="47" t="n">
        <v>48</v>
      </c>
      <c r="B52" s="50" t="inlineStr">
        <is>
          <t>E-Commerce Store</t>
        </is>
      </c>
      <c r="C52" s="50" t="inlineStr">
        <is>
          <t>/gold-erp/items</t>
        </is>
      </c>
      <c r="D52" s="51" t="inlineStr">
        <is>
          <t>ASSERT</t>
        </is>
      </c>
      <c r="E52" s="50" t="inlineStr">
        <is>
          <t>DT-0059 final status</t>
        </is>
      </c>
      <c r="F52" s="52" t="inlineStr">
        <is>
          <t>Sold</t>
        </is>
      </c>
      <c r="G52" s="57" t="inlineStr"/>
      <c r="H52" s="50" t="inlineStr"/>
      <c r="I52" s="53" t="inlineStr"/>
      <c r="J52" s="50" t="inlineStr"/>
    </row>
    <row r="53" ht="18" customHeight="1">
      <c r="A53" s="47" t="n">
        <v>49</v>
      </c>
      <c r="B53" s="50" t="inlineStr">
        <is>
          <t>E-Commerce Store</t>
        </is>
      </c>
      <c r="C53" s="50" t="inlineStr">
        <is>
          <t>/ecom</t>
        </is>
      </c>
      <c r="D53" s="51" t="inlineStr">
        <is>
          <t>ASSERT</t>
        </is>
      </c>
      <c r="E53" s="50" t="inlineStr">
        <is>
          <t>Arjun — purchase history</t>
        </is>
      </c>
      <c r="F53" s="52" t="inlineStr">
        <is>
          <t>ECOM-ORD-2024-0001 in order history</t>
        </is>
      </c>
      <c r="G53" s="57" t="inlineStr">
        <is>
          <t>Customer can see past orders</t>
        </is>
      </c>
      <c r="H53" s="50" t="inlineStr"/>
      <c r="I53" s="53" t="inlineStr"/>
      <c r="J53" s="50" t="inlineStr"/>
    </row>
  </sheetData>
  <mergeCells count="6">
    <mergeCell ref="A44:J44"/>
    <mergeCell ref="A1:J1"/>
    <mergeCell ref="A6:J6"/>
    <mergeCell ref="A17:J17"/>
    <mergeCell ref="A29:J29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20: Gold Chit Online Portal — Customer Login, Pay Online, Certificate</t>
        </is>
      </c>
    </row>
    <row r="2" ht="16" customHeight="1">
      <c r="A2" s="46" t="inlineStr">
        <is>
          <t>Lakshmi Devi logs into chit portal → views balance → pays Month 4 online via UPI → receipt on WhatsApp → ERP auto-updated → download certificate</t>
        </is>
      </c>
    </row>
    <row r="3" ht="18" customHeight="1">
      <c r="A3" s="47" t="inlineStr">
        <is>
          <t>Flow</t>
        </is>
      </c>
      <c r="B3" s="48" t="inlineStr">
        <is>
          <t>F20</t>
        </is>
      </c>
      <c r="C3" s="47" t="inlineStr">
        <is>
          <t>Steps</t>
        </is>
      </c>
      <c r="D3" s="48" t="n">
        <v>25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46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SETUP</t>
        </is>
      </c>
      <c r="F5" s="52" t="inlineStr">
        <is>
          <t>Prerequisite: Lakshmi Devi enrolled in SCH-001 (from F3). Months 1-3 paid. Portal URL: swacherp.com/chit-portal</t>
        </is>
      </c>
      <c r="G5" s="52" t="inlineStr"/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Chit Portal</t>
        </is>
      </c>
      <c r="C6" s="50" t="inlineStr">
        <is>
          <t>/chit-portal</t>
        </is>
      </c>
      <c r="D6" s="54" t="inlineStr">
        <is>
          <t>NAVIGATE</t>
        </is>
      </c>
      <c r="E6" s="50" t="inlineStr"/>
      <c r="F6" s="52" t="inlineStr"/>
      <c r="G6" s="52" t="inlineStr">
        <is>
          <t>Chit member portal login page</t>
        </is>
      </c>
      <c r="H6" s="50" t="inlineStr"/>
      <c r="I6" s="53" t="inlineStr"/>
      <c r="J6" s="50" t="inlineStr">
        <is>
          <t>Open in browser incognito</t>
        </is>
      </c>
    </row>
    <row r="7" ht="18" customHeight="1">
      <c r="A7" s="47" t="n">
        <v>3</v>
      </c>
      <c r="B7" s="50" t="inlineStr">
        <is>
          <t>Chit Portal</t>
        </is>
      </c>
      <c r="C7" s="50" t="inlineStr">
        <is>
          <t>/chit-portal</t>
        </is>
      </c>
      <c r="D7" s="56" t="inlineStr">
        <is>
          <t>ENTER</t>
        </is>
      </c>
      <c r="E7" s="50" t="inlineStr">
        <is>
          <t>Mobile</t>
        </is>
      </c>
      <c r="F7" s="52" t="inlineStr">
        <is>
          <t>9123456789</t>
        </is>
      </c>
      <c r="G7" s="52" t="inlineStr">
        <is>
          <t>Lakshmi Devi's registered mobile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Chit Portal</t>
        </is>
      </c>
      <c r="C8" s="50" t="inlineStr">
        <is>
          <t>/chit-portal</t>
        </is>
      </c>
      <c r="D8" s="55" t="inlineStr">
        <is>
          <t>CLICK</t>
        </is>
      </c>
      <c r="E8" s="50" t="inlineStr">
        <is>
          <t>Send OTP</t>
        </is>
      </c>
      <c r="F8" s="52" t="inlineStr"/>
      <c r="G8" s="52" t="inlineStr">
        <is>
          <t>OTP sent to 9123456789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Chit Portal</t>
        </is>
      </c>
      <c r="C9" s="50" t="inlineStr">
        <is>
          <t>/chit-portal</t>
        </is>
      </c>
      <c r="D9" s="56" t="inlineStr">
        <is>
          <t>ENTER</t>
        </is>
      </c>
      <c r="E9" s="50" t="inlineStr">
        <is>
          <t>OTP</t>
        </is>
      </c>
      <c r="F9" s="52" t="inlineStr">
        <is>
          <t>654321</t>
        </is>
      </c>
      <c r="G9" s="52" t="inlineStr">
        <is>
          <t>Test OTP</t>
        </is>
      </c>
      <c r="H9" s="50" t="inlineStr"/>
      <c r="I9" s="53" t="inlineStr"/>
      <c r="J9" s="50" t="inlineStr"/>
    </row>
    <row r="10" ht="32" customHeight="1">
      <c r="A10" s="47" t="n">
        <v>6</v>
      </c>
      <c r="B10" s="50" t="inlineStr">
        <is>
          <t>Chit Portal</t>
        </is>
      </c>
      <c r="C10" s="50" t="inlineStr">
        <is>
          <t>/chit-portal</t>
        </is>
      </c>
      <c r="D10" s="51" t="inlineStr">
        <is>
          <t>ASSERT</t>
        </is>
      </c>
      <c r="E10" s="50" t="inlineStr">
        <is>
          <t>Dashboard loads</t>
        </is>
      </c>
      <c r="F10" s="52" t="inlineStr">
        <is>
          <t>Scheme: Gold Savings 11+1 | Months paid: 3 | Maturity: ₹60,000</t>
        </is>
      </c>
      <c r="G10" s="57" t="inlineStr"/>
      <c r="H10" s="50" t="inlineStr"/>
      <c r="I10" s="53" t="inlineStr"/>
      <c r="J10" s="50" t="inlineStr"/>
    </row>
    <row r="11" ht="32" customHeight="1">
      <c r="A11" s="47" t="n">
        <v>7</v>
      </c>
      <c r="B11" s="50" t="inlineStr">
        <is>
          <t>Chit Portal</t>
        </is>
      </c>
      <c r="C11" s="50" t="inlineStr">
        <is>
          <t>/chit-portal</t>
        </is>
      </c>
      <c r="D11" s="51" t="inlineStr">
        <is>
          <t>ASSERT</t>
        </is>
      </c>
      <c r="E11" s="50" t="inlineStr">
        <is>
          <t>Instalment history</t>
        </is>
      </c>
      <c r="F11" s="52" t="inlineStr">
        <is>
          <t>Month 1: ₹5,000 ✓ | Month 2: ₹5,000 ✓ | Month 3: ₹5,100 ✓ (late fee)</t>
        </is>
      </c>
      <c r="G11" s="57" t="inlineStr">
        <is>
          <t>3 payments visible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Chit Portal</t>
        </is>
      </c>
      <c r="C12" s="50" t="inlineStr">
        <is>
          <t>/chit-portal</t>
        </is>
      </c>
      <c r="D12" s="51" t="inlineStr">
        <is>
          <t>ASSERT</t>
        </is>
      </c>
      <c r="E12" s="50" t="inlineStr">
        <is>
          <t>Balance remaining</t>
        </is>
      </c>
      <c r="F12" s="52" t="inlineStr">
        <is>
          <t>₹42,400</t>
        </is>
      </c>
      <c r="G12" s="57" t="inlineStr">
        <is>
          <t>₹60,000 − ₹15,100 paid − ₹2,400 late fees adjusted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Chit Portal</t>
        </is>
      </c>
      <c r="C13" s="50" t="inlineStr">
        <is>
          <t>/chit-portal</t>
        </is>
      </c>
      <c r="D13" s="51" t="inlineStr">
        <is>
          <t>ASSERT</t>
        </is>
      </c>
      <c r="E13" s="50" t="inlineStr">
        <is>
          <t>Next due</t>
        </is>
      </c>
      <c r="F13" s="52" t="inlineStr">
        <is>
          <t>Month 4 — ₹5,000 due on 5th</t>
        </is>
      </c>
      <c r="G13" s="57" t="inlineStr"/>
      <c r="H13" s="50" t="inlineStr"/>
      <c r="I13" s="53" t="inlineStr"/>
      <c r="J13" s="50" t="inlineStr"/>
    </row>
    <row r="14" ht="16" customHeight="1">
      <c r="A14" s="70" t="inlineStr">
        <is>
          <t xml:space="preserve">  ▸  — ONLINE PAYMENT —</t>
        </is>
      </c>
    </row>
    <row r="15" ht="18" customHeight="1">
      <c r="A15" s="47" t="n">
        <v>11</v>
      </c>
      <c r="B15" s="50" t="inlineStr">
        <is>
          <t>Chit Portal</t>
        </is>
      </c>
      <c r="C15" s="50" t="inlineStr">
        <is>
          <t>/chit-portal</t>
        </is>
      </c>
      <c r="D15" s="55" t="inlineStr">
        <is>
          <t>CLICK</t>
        </is>
      </c>
      <c r="E15" s="50" t="inlineStr">
        <is>
          <t>Pay Month 4 Instalment</t>
        </is>
      </c>
      <c r="F15" s="52" t="inlineStr"/>
      <c r="G15" s="52" t="inlineStr">
        <is>
          <t>Payment form — ₹5,000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Chit Portal</t>
        </is>
      </c>
      <c r="C16" s="50" t="inlineStr">
        <is>
          <t>/chit-portal</t>
        </is>
      </c>
      <c r="D16" s="51" t="inlineStr">
        <is>
          <t>ASSERT</t>
        </is>
      </c>
      <c r="E16" s="50" t="inlineStr">
        <is>
          <t>Amount pre-filled</t>
        </is>
      </c>
      <c r="F16" s="52" t="inlineStr">
        <is>
          <t>₹5,000</t>
        </is>
      </c>
      <c r="G16" s="57" t="inlineStr"/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Chit Portal</t>
        </is>
      </c>
      <c r="C17" s="50" t="inlineStr">
        <is>
          <t>/chit-portal</t>
        </is>
      </c>
      <c r="D17" s="55" t="inlineStr">
        <is>
          <t>CLICK</t>
        </is>
      </c>
      <c r="E17" s="50" t="inlineStr">
        <is>
          <t>Pay via UPI</t>
        </is>
      </c>
      <c r="F17" s="52" t="inlineStr"/>
      <c r="G17" s="52" t="inlineStr">
        <is>
          <t>Razorpay payment page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Chit Portal</t>
        </is>
      </c>
      <c r="C18" s="50" t="inlineStr">
        <is>
          <t>/chit-portal</t>
        </is>
      </c>
      <c r="D18" s="56" t="inlineStr">
        <is>
          <t>ENTER</t>
        </is>
      </c>
      <c r="E18" s="50" t="inlineStr">
        <is>
          <t>UPI ID</t>
        </is>
      </c>
      <c r="F18" s="52" t="inlineStr">
        <is>
          <t>success@razorpay</t>
        </is>
      </c>
      <c r="G18" s="52" t="inlineStr">
        <is>
          <t>Test payment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Chit Portal</t>
        </is>
      </c>
      <c r="C19" s="50" t="inlineStr">
        <is>
          <t>/chit-portal</t>
        </is>
      </c>
      <c r="D19" s="55" t="inlineStr">
        <is>
          <t>CLICK</t>
        </is>
      </c>
      <c r="E19" s="50" t="inlineStr">
        <is>
          <t>Pay</t>
        </is>
      </c>
      <c r="F19" s="52" t="inlineStr"/>
      <c r="G19" s="52" t="inlineStr">
        <is>
          <t>Payment successful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Chit Portal</t>
        </is>
      </c>
      <c r="C20" s="50" t="inlineStr">
        <is>
          <t>/chit-portal</t>
        </is>
      </c>
      <c r="D20" s="51" t="inlineStr">
        <is>
          <t>ASSERT</t>
        </is>
      </c>
      <c r="E20" s="50" t="inlineStr">
        <is>
          <t>Receipt generated</t>
        </is>
      </c>
      <c r="F20" s="52" t="inlineStr">
        <is>
          <t>Receipt RCP-004 — Month 4 ₹5,000 paid</t>
        </is>
      </c>
      <c r="G20" s="57" t="inlineStr">
        <is>
          <t>Shown on screen + WhatsApp</t>
        </is>
      </c>
      <c r="H20" s="50" t="inlineStr"/>
      <c r="I20" s="53" t="inlineStr"/>
      <c r="J20" s="50" t="inlineStr"/>
    </row>
    <row r="21" ht="32" customHeight="1">
      <c r="A21" s="47" t="n">
        <v>17</v>
      </c>
      <c r="B21" s="50" t="inlineStr">
        <is>
          <t>Chit Portal</t>
        </is>
      </c>
      <c r="C21" s="50" t="inlineStr">
        <is>
          <t>/chit-portal</t>
        </is>
      </c>
      <c r="D21" s="51" t="inlineStr">
        <is>
          <t>ASSERT</t>
        </is>
      </c>
      <c r="E21" s="50" t="inlineStr">
        <is>
          <t>WhatsApp receipt</t>
        </is>
      </c>
      <c r="F21" s="52" t="inlineStr">
        <is>
          <t>'Month 4 payment of ₹5,000 received. 8 months remaining.'</t>
        </is>
      </c>
      <c r="G21" s="57" t="inlineStr">
        <is>
          <t>Sent to 9123456789</t>
        </is>
      </c>
      <c r="H21" s="50" t="inlineStr"/>
      <c r="I21" s="53" t="inlineStr"/>
      <c r="J21" s="50" t="inlineStr"/>
    </row>
    <row r="22" ht="32" customHeight="1">
      <c r="A22" s="47" t="n">
        <v>18</v>
      </c>
      <c r="B22" s="50" t="inlineStr">
        <is>
          <t>Chit Collection Register</t>
        </is>
      </c>
      <c r="C22" s="50" t="inlineStr">
        <is>
          <t>/gold-erp/chit-collection</t>
        </is>
      </c>
      <c r="D22" s="51" t="inlineStr">
        <is>
          <t>ASSERT</t>
        </is>
      </c>
      <c r="E22" s="50" t="inlineStr">
        <is>
          <t>ERP collection register</t>
        </is>
      </c>
      <c r="F22" s="52" t="inlineStr">
        <is>
          <t>Month 4 — Lakshmi Devi — ₹5,000 — Online — Today</t>
        </is>
      </c>
      <c r="G22" s="57" t="inlineStr">
        <is>
          <t>Auto-synced from portal payment</t>
        </is>
      </c>
      <c r="H22" s="50" t="inlineStr"/>
      <c r="I22" s="53" t="inlineStr"/>
      <c r="J22" s="50" t="inlineStr">
        <is>
          <t>CRITICAL: sync must work</t>
        </is>
      </c>
    </row>
    <row r="23" ht="16" customHeight="1">
      <c r="A23" s="70" t="inlineStr">
        <is>
          <t xml:space="preserve">  ▸  — MATURITY VIEW + CERTIFICATE —</t>
        </is>
      </c>
    </row>
    <row r="24" ht="18" customHeight="1">
      <c r="A24" s="47" t="n">
        <v>20</v>
      </c>
      <c r="B24" s="50" t="inlineStr">
        <is>
          <t>Chit Portal</t>
        </is>
      </c>
      <c r="C24" s="50" t="inlineStr">
        <is>
          <t>/chit-portal</t>
        </is>
      </c>
      <c r="D24" s="51" t="inlineStr">
        <is>
          <t>ASSERT</t>
        </is>
      </c>
      <c r="E24" s="50" t="inlineStr">
        <is>
          <t>Maturity calculator</t>
        </is>
      </c>
      <c r="F24" s="52" t="inlineStr">
        <is>
          <t>₹60,000 at Dec 2024</t>
        </is>
      </c>
      <c r="G24" s="57" t="inlineStr">
        <is>
          <t>Visible to customer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Chit Portal</t>
        </is>
      </c>
      <c r="C25" s="50" t="inlineStr">
        <is>
          <t>/chit-portal</t>
        </is>
      </c>
      <c r="D25" s="51" t="inlineStr">
        <is>
          <t>ASSERT</t>
        </is>
      </c>
      <c r="E25" s="50" t="inlineStr">
        <is>
          <t>Redemption options preview</t>
        </is>
      </c>
      <c r="F25" s="52" t="inlineStr">
        <is>
          <t>Gold purchase / Cash / Extend</t>
        </is>
      </c>
      <c r="G25" s="57" t="inlineStr">
        <is>
          <t>Customer sees options before maturity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Chit Portal</t>
        </is>
      </c>
      <c r="C26" s="50" t="inlineStr">
        <is>
          <t>/chit-portal</t>
        </is>
      </c>
      <c r="D26" s="55" t="inlineStr">
        <is>
          <t>CLICK</t>
        </is>
      </c>
      <c r="E26" s="50" t="inlineStr">
        <is>
          <t>Download Scheme Certificate</t>
        </is>
      </c>
      <c r="F26" s="52" t="inlineStr"/>
      <c r="G26" s="52" t="inlineStr">
        <is>
          <t>PDF certificate of enrolment downloaded</t>
        </is>
      </c>
      <c r="H26" s="50" t="inlineStr"/>
      <c r="I26" s="53" t="inlineStr"/>
      <c r="J26" s="50" t="inlineStr"/>
    </row>
    <row r="27" ht="32" customHeight="1">
      <c r="A27" s="47" t="n">
        <v>23</v>
      </c>
      <c r="B27" s="50" t="inlineStr">
        <is>
          <t>Chit Portal</t>
        </is>
      </c>
      <c r="C27" s="50" t="inlineStr">
        <is>
          <t>/chit-portal</t>
        </is>
      </c>
      <c r="D27" s="51" t="inlineStr">
        <is>
          <t>ASSERT</t>
        </is>
      </c>
      <c r="E27" s="50" t="inlineStr">
        <is>
          <t>Certificate content</t>
        </is>
      </c>
      <c r="F27" s="52" t="inlineStr">
        <is>
          <t>Member: Lakshmi Devi | Scheme: SCH-001 | Monthly: ₹5,000 | Maturity: ₹60,000</t>
        </is>
      </c>
      <c r="G27" s="57" t="inlineStr"/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Chit Portal</t>
        </is>
      </c>
      <c r="C28" s="50" t="inlineStr">
        <is>
          <t>/chit-portal</t>
        </is>
      </c>
      <c r="D28" s="55" t="inlineStr">
        <is>
          <t>CLICK</t>
        </is>
      </c>
      <c r="E28" s="50" t="inlineStr">
        <is>
          <t>Request Redemption (simulate maturity)</t>
        </is>
      </c>
      <c r="F28" s="52" t="inlineStr"/>
      <c r="G28" s="52" t="inlineStr">
        <is>
          <t>Redemption request sent to shop</t>
        </is>
      </c>
      <c r="H28" s="50" t="inlineStr"/>
      <c r="I28" s="53" t="inlineStr"/>
      <c r="J28" s="50" t="inlineStr">
        <is>
          <t>Pre-maturity request</t>
        </is>
      </c>
    </row>
    <row r="29" ht="32" customHeight="1">
      <c r="A29" s="47" t="n">
        <v>25</v>
      </c>
      <c r="B29" s="50" t="inlineStr">
        <is>
          <t>Chit Portal</t>
        </is>
      </c>
      <c r="C29" s="50" t="inlineStr">
        <is>
          <t>/chit-portal</t>
        </is>
      </c>
      <c r="D29" s="51" t="inlineStr">
        <is>
          <t>ASSERT</t>
        </is>
      </c>
      <c r="E29" s="50" t="inlineStr">
        <is>
          <t>Redemption request in ERP</t>
        </is>
      </c>
      <c r="F29" s="52" t="inlineStr">
        <is>
          <t>Chit Redemptions screen shows pending request from Lakshmi Devi</t>
        </is>
      </c>
      <c r="G29" s="57" t="inlineStr">
        <is>
          <t>ERP staff sees it</t>
        </is>
      </c>
      <c r="H29" s="50" t="inlineStr"/>
      <c r="I29" s="53" t="inlineStr"/>
      <c r="J29" s="50" t="inlineStr"/>
    </row>
  </sheetData>
  <mergeCells count="4">
    <mergeCell ref="A1:J1"/>
    <mergeCell ref="A23:J23"/>
    <mergeCell ref="A14:J14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21: HRMS Exit Process — Resignation → F&amp;F Settlement → Letters → PF</t>
        </is>
      </c>
    </row>
    <row r="2" ht="16" customHeight="1">
      <c r="A2" s="46" t="inlineStr">
        <is>
          <t>Raju resigns via ESS → HR accepts → exit checklist (verify zero gold balance) → F&amp;F settlement → experience letter → relieving letter → PF withdrawal form → exit interview</t>
        </is>
      </c>
    </row>
    <row r="3" ht="18" customHeight="1">
      <c r="A3" s="47" t="inlineStr">
        <is>
          <t>Flow</t>
        </is>
      </c>
      <c r="B3" s="48" t="inlineStr">
        <is>
          <t>F21</t>
        </is>
      </c>
      <c r="C3" s="47" t="inlineStr">
        <is>
          <t>Steps</t>
        </is>
      </c>
      <c r="D3" s="48" t="n">
        <v>43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46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SETUP</t>
        </is>
      </c>
      <c r="F5" s="52" t="inlineStr">
        <is>
          <t>Raju Goldsmith (EMP-001) resigns. Last working day: 31-Jan-2024. Run after F18 payroll is complete.</t>
        </is>
      </c>
      <c r="G5" s="52" t="inlineStr"/>
      <c r="H5" s="50" t="inlineStr"/>
      <c r="I5" s="53" t="inlineStr"/>
      <c r="J5" s="50" t="inlineStr"/>
    </row>
    <row r="6" ht="16" customHeight="1">
      <c r="A6" s="70" t="inlineStr">
        <is>
          <t xml:space="preserve">  ▸  — RESIGNATION SUBMISSION —</t>
        </is>
      </c>
    </row>
    <row r="7" ht="18" customHeight="1">
      <c r="A7" s="47" t="n">
        <v>3</v>
      </c>
      <c r="B7" s="50" t="inlineStr">
        <is>
          <t>Employees</t>
        </is>
      </c>
      <c r="C7" s="50" t="inlineStr">
        <is>
          <t>/ess/portal</t>
        </is>
      </c>
      <c r="D7" s="54" t="inlineStr">
        <is>
          <t>NAVIGATE</t>
        </is>
      </c>
      <c r="E7" s="50" t="inlineStr"/>
      <c r="F7" s="52" t="inlineStr"/>
      <c r="G7" s="52" t="inlineStr">
        <is>
          <t>ESS portal — login as Raju Goldsmith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Employees</t>
        </is>
      </c>
      <c r="C8" s="50" t="inlineStr">
        <is>
          <t>/ess/portal</t>
        </is>
      </c>
      <c r="D8" s="55" t="inlineStr">
        <is>
          <t>CLICK</t>
        </is>
      </c>
      <c r="E8" s="50" t="inlineStr">
        <is>
          <t>Submit Resignation</t>
        </is>
      </c>
      <c r="F8" s="52" t="inlineStr"/>
      <c r="G8" s="52" t="inlineStr">
        <is>
          <t>Resignation form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Employees</t>
        </is>
      </c>
      <c r="C9" s="50" t="inlineStr">
        <is>
          <t>/ess/portal</t>
        </is>
      </c>
      <c r="D9" s="56" t="inlineStr">
        <is>
          <t>ENTER</t>
        </is>
      </c>
      <c r="E9" s="50" t="inlineStr">
        <is>
          <t>Notice Period</t>
        </is>
      </c>
      <c r="F9" s="52" t="inlineStr">
        <is>
          <t>30 days</t>
        </is>
      </c>
      <c r="G9" s="52" t="inlineStr">
        <is>
          <t>As per contract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Employees</t>
        </is>
      </c>
      <c r="C10" s="50" t="inlineStr">
        <is>
          <t>/ess/portal</t>
        </is>
      </c>
      <c r="D10" s="56" t="inlineStr">
        <is>
          <t>ENTER</t>
        </is>
      </c>
      <c r="E10" s="50" t="inlineStr">
        <is>
          <t>Last Working Day</t>
        </is>
      </c>
      <c r="F10" s="52" t="inlineStr">
        <is>
          <t>31-Jan-2024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Employees</t>
        </is>
      </c>
      <c r="C11" s="50" t="inlineStr">
        <is>
          <t>/ess/portal</t>
        </is>
      </c>
      <c r="D11" s="56" t="inlineStr">
        <is>
          <t>ENTER</t>
        </is>
      </c>
      <c r="E11" s="50" t="inlineStr">
        <is>
          <t>Reason</t>
        </is>
      </c>
      <c r="F11" s="52" t="inlineStr">
        <is>
          <t>Personal — starting own business</t>
        </is>
      </c>
      <c r="G11" s="52" t="inlineStr"/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Employees</t>
        </is>
      </c>
      <c r="C12" s="50" t="inlineStr">
        <is>
          <t>/ess/portal</t>
        </is>
      </c>
      <c r="D12" s="55" t="inlineStr">
        <is>
          <t>CLICK</t>
        </is>
      </c>
      <c r="E12" s="50" t="inlineStr">
        <is>
          <t>Submit</t>
        </is>
      </c>
      <c r="F12" s="52" t="inlineStr"/>
      <c r="G12" s="52" t="inlineStr">
        <is>
          <t>Resignation submitted. HR notified.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Employees</t>
        </is>
      </c>
      <c r="C13" s="50" t="inlineStr">
        <is>
          <t>/hr/employees</t>
        </is>
      </c>
      <c r="D13" s="55" t="inlineStr">
        <is>
          <t>CLICK</t>
        </is>
      </c>
      <c r="E13" s="50" t="inlineStr">
        <is>
          <t>Accept Resignation — EMP-001</t>
        </is>
      </c>
      <c r="F13" s="52" t="inlineStr"/>
      <c r="G13" s="52" t="inlineStr">
        <is>
          <t>HR accepts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Employees</t>
        </is>
      </c>
      <c r="C14" s="50" t="inlineStr">
        <is>
          <t>/hr/employees</t>
        </is>
      </c>
      <c r="D14" s="51" t="inlineStr">
        <is>
          <t>ASSERT</t>
        </is>
      </c>
      <c r="E14" s="50" t="inlineStr">
        <is>
          <t>Employee status</t>
        </is>
      </c>
      <c r="F14" s="52" t="inlineStr">
        <is>
          <t>Notice Period — Last day: 31-Jan-2024</t>
        </is>
      </c>
      <c r="G14" s="57" t="inlineStr"/>
      <c r="H14" s="50" t="inlineStr"/>
      <c r="I14" s="53" t="inlineStr"/>
      <c r="J14" s="50" t="inlineStr"/>
    </row>
    <row r="15" ht="16" customHeight="1">
      <c r="A15" s="70" t="inlineStr">
        <is>
          <t xml:space="preserve">  ▸  — EXIT CHECKLIST + ASSET RETURN —</t>
        </is>
      </c>
    </row>
    <row r="16" ht="18" customHeight="1">
      <c r="A16" s="47" t="n">
        <v>12</v>
      </c>
      <c r="B16" s="50" t="inlineStr">
        <is>
          <t>Employees</t>
        </is>
      </c>
      <c r="C16" s="50" t="inlineStr">
        <is>
          <t>/hr/employees</t>
        </is>
      </c>
      <c r="D16" s="55" t="inlineStr">
        <is>
          <t>CLICK</t>
        </is>
      </c>
      <c r="E16" s="50" t="inlineStr">
        <is>
          <t>Open Exit Checklist — EMP-001</t>
        </is>
      </c>
      <c r="F16" s="52" t="inlineStr"/>
      <c r="G16" s="52" t="inlineStr">
        <is>
          <t>Checklist opens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Employees</t>
        </is>
      </c>
      <c r="C17" s="50" t="inlineStr">
        <is>
          <t>/hr/employees</t>
        </is>
      </c>
      <c r="D17" s="56" t="inlineStr">
        <is>
          <t>ENTER</t>
        </is>
      </c>
      <c r="E17" s="50" t="inlineStr">
        <is>
          <t>Tools returned</t>
        </is>
      </c>
      <c r="F17" s="52" t="inlineStr">
        <is>
          <t>Goldsmith tools set — ✓</t>
        </is>
      </c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Employees</t>
        </is>
      </c>
      <c r="C18" s="50" t="inlineStr">
        <is>
          <t>/hr/employees</t>
        </is>
      </c>
      <c r="D18" s="56" t="inlineStr">
        <is>
          <t>ENTER</t>
        </is>
      </c>
      <c r="E18" s="50" t="inlineStr">
        <is>
          <t>ID Card returned</t>
        </is>
      </c>
      <c r="F18" s="52" t="inlineStr">
        <is>
          <t>✓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Employees</t>
        </is>
      </c>
      <c r="C19" s="50" t="inlineStr">
        <is>
          <t>/hr/employees</t>
        </is>
      </c>
      <c r="D19" s="56" t="inlineStr">
        <is>
          <t>ENTER</t>
        </is>
      </c>
      <c r="E19" s="50" t="inlineStr">
        <is>
          <t>Locker cleared</t>
        </is>
      </c>
      <c r="F19" s="52" t="inlineStr">
        <is>
          <t>✓</t>
        </is>
      </c>
      <c r="G19" s="52" t="inlineStr"/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Employees</t>
        </is>
      </c>
      <c r="C20" s="50" t="inlineStr">
        <is>
          <t>/hr/employees</t>
        </is>
      </c>
      <c r="D20" s="56" t="inlineStr">
        <is>
          <t>ENTER</t>
        </is>
      </c>
      <c r="E20" s="50" t="inlineStr">
        <is>
          <t>Gold balance with karigar</t>
        </is>
      </c>
      <c r="F20" s="52" t="inlineStr">
        <is>
          <t>0.0 gm (verified from material ledger)</t>
        </is>
      </c>
      <c r="G20" s="52" t="inlineStr">
        <is>
          <t>Must be zero before exit</t>
        </is>
      </c>
      <c r="H20" s="50" t="inlineStr"/>
      <c r="I20" s="53" t="inlineStr"/>
      <c r="J20" s="50" t="inlineStr">
        <is>
          <t>CRITICAL</t>
        </is>
      </c>
    </row>
    <row r="21" ht="18" customHeight="1">
      <c r="A21" s="47" t="n">
        <v>17</v>
      </c>
      <c r="B21" s="50" t="inlineStr">
        <is>
          <t>Karigar Material Ledger</t>
        </is>
      </c>
      <c r="C21" s="50" t="inlineStr">
        <is>
          <t>/gold-erp/karigar-material-ledger</t>
        </is>
      </c>
      <c r="D21" s="51" t="inlineStr">
        <is>
          <t>ASSERT</t>
        </is>
      </c>
      <c r="E21" s="50" t="inlineStr">
        <is>
          <t>Raju gold balance</t>
        </is>
      </c>
      <c r="F21" s="52" t="inlineStr">
        <is>
          <t>0.0 gm</t>
        </is>
      </c>
      <c r="G21" s="57" t="inlineStr">
        <is>
          <t>All gold settled — verified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Employees</t>
        </is>
      </c>
      <c r="C22" s="50" t="inlineStr">
        <is>
          <t>/hr/employees</t>
        </is>
      </c>
      <c r="D22" s="56" t="inlineStr">
        <is>
          <t>ENTER</t>
        </is>
      </c>
      <c r="E22" s="50" t="inlineStr">
        <is>
          <t>No dues certificate</t>
        </is>
      </c>
      <c r="F22" s="52" t="inlineStr">
        <is>
          <t>Issued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Employees</t>
        </is>
      </c>
      <c r="C23" s="50" t="inlineStr">
        <is>
          <t>/hr/employees</t>
        </is>
      </c>
      <c r="D23" s="55" t="inlineStr">
        <is>
          <t>CLICK</t>
        </is>
      </c>
      <c r="E23" s="50" t="inlineStr">
        <is>
          <t>Mark Exit Checklist Complete</t>
        </is>
      </c>
      <c r="F23" s="52" t="inlineStr"/>
      <c r="G23" s="52" t="inlineStr">
        <is>
          <t>Clearance done</t>
        </is>
      </c>
      <c r="H23" s="50" t="inlineStr"/>
      <c r="I23" s="53" t="inlineStr"/>
      <c r="J23" s="50" t="inlineStr"/>
    </row>
    <row r="24" ht="16" customHeight="1">
      <c r="A24" s="70" t="inlineStr">
        <is>
          <t xml:space="preserve">  ▸  — FULL &amp; FINAL SETTLEMENT —</t>
        </is>
      </c>
    </row>
    <row r="25" ht="18" customHeight="1">
      <c r="A25" s="47" t="n">
        <v>21</v>
      </c>
      <c r="B25" s="50" t="inlineStr">
        <is>
          <t>Payroll</t>
        </is>
      </c>
      <c r="C25" s="50" t="inlineStr">
        <is>
          <t>/hr/payroll</t>
        </is>
      </c>
      <c r="D25" s="55" t="inlineStr">
        <is>
          <t>CLICK</t>
        </is>
      </c>
      <c r="E25" s="50" t="inlineStr">
        <is>
          <t>Run F&amp;F Settlement — EMP-001</t>
        </is>
      </c>
      <c r="F25" s="52" t="inlineStr"/>
      <c r="G25" s="52" t="inlineStr">
        <is>
          <t>F&amp;F calculation form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Payroll</t>
        </is>
      </c>
      <c r="C26" s="50" t="inlineStr">
        <is>
          <t>/hr/payroll</t>
        </is>
      </c>
      <c r="D26" s="51" t="inlineStr">
        <is>
          <t>ASSERT</t>
        </is>
      </c>
      <c r="E26" s="50" t="inlineStr">
        <is>
          <t>Pending salary (Jan 1-31)</t>
        </is>
      </c>
      <c r="F26" s="52" t="inlineStr">
        <is>
          <t>₹20,000</t>
        </is>
      </c>
      <c r="G26" s="57" t="inlineStr">
        <is>
          <t>25 days × ₹800 (already run in F18)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Payroll</t>
        </is>
      </c>
      <c r="C27" s="50" t="inlineStr">
        <is>
          <t>/hr/payroll</t>
        </is>
      </c>
      <c r="D27" s="51" t="inlineStr">
        <is>
          <t>ASSERT</t>
        </is>
      </c>
      <c r="E27" s="50" t="inlineStr">
        <is>
          <t>Leave encashment</t>
        </is>
      </c>
      <c r="F27" s="52" t="inlineStr">
        <is>
          <t>₹3,200</t>
        </is>
      </c>
      <c r="G27" s="57" t="inlineStr">
        <is>
          <t>4 unused leaves × ₹800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Payroll</t>
        </is>
      </c>
      <c r="C28" s="50" t="inlineStr">
        <is>
          <t>/hr/payroll</t>
        </is>
      </c>
      <c r="D28" s="51" t="inlineStr">
        <is>
          <t>ASSERT</t>
        </is>
      </c>
      <c r="E28" s="50" t="inlineStr">
        <is>
          <t>Loan outstanding deduction</t>
        </is>
      </c>
      <c r="F28" s="52" t="inlineStr">
        <is>
          <t>−₹4,000</t>
        </is>
      </c>
      <c r="G28" s="57" t="inlineStr">
        <is>
          <t>₹5,000 − ₹1,000 already paid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Payroll</t>
        </is>
      </c>
      <c r="C29" s="50" t="inlineStr">
        <is>
          <t>/hr/payroll</t>
        </is>
      </c>
      <c r="D29" s="51" t="inlineStr">
        <is>
          <t>ASSERT</t>
        </is>
      </c>
      <c r="E29" s="50" t="inlineStr">
        <is>
          <t>Gratuity (if applicable)</t>
        </is>
      </c>
      <c r="F29" s="52" t="inlineStr">
        <is>
          <t>₹0</t>
        </is>
      </c>
      <c r="G29" s="57" t="inlineStr">
        <is>
          <t>&lt;5 years service — not applicable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Payroll</t>
        </is>
      </c>
      <c r="C30" s="50" t="inlineStr">
        <is>
          <t>/hr/payroll</t>
        </is>
      </c>
      <c r="D30" s="51" t="inlineStr">
        <is>
          <t>ASSERT</t>
        </is>
      </c>
      <c r="E30" s="50" t="inlineStr">
        <is>
          <t>Net F&amp;F amount</t>
        </is>
      </c>
      <c r="F30" s="52" t="inlineStr">
        <is>
          <t>₹19,200</t>
        </is>
      </c>
      <c r="G30" s="57" t="inlineStr">
        <is>
          <t>₹20,000 + ₹3,200 − ₹4,000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Payroll</t>
        </is>
      </c>
      <c r="C31" s="50" t="inlineStr">
        <is>
          <t>/hr/payroll</t>
        </is>
      </c>
      <c r="D31" s="55" t="inlineStr">
        <is>
          <t>CLICK</t>
        </is>
      </c>
      <c r="E31" s="50" t="inlineStr">
        <is>
          <t>Process F&amp;F Payment</t>
        </is>
      </c>
      <c r="F31" s="52" t="inlineStr"/>
      <c r="G31" s="52" t="inlineStr">
        <is>
          <t>Bank transfer of ₹19,200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Payroll</t>
        </is>
      </c>
      <c r="C32" s="50" t="inlineStr">
        <is>
          <t>/hr/payroll</t>
        </is>
      </c>
      <c r="D32" s="51" t="inlineStr">
        <is>
          <t>ASSERT</t>
        </is>
      </c>
      <c r="E32" s="50" t="inlineStr">
        <is>
          <t>F&amp;F payment record</t>
        </is>
      </c>
      <c r="F32" s="52" t="inlineStr">
        <is>
          <t>₹19,200 transferred to HDFC account</t>
        </is>
      </c>
      <c r="G32" s="57" t="inlineStr"/>
      <c r="H32" s="50" t="inlineStr"/>
      <c r="I32" s="53" t="inlineStr"/>
      <c r="J32" s="50" t="inlineStr"/>
    </row>
    <row r="33" ht="16" customHeight="1">
      <c r="A33" s="70" t="inlineStr">
        <is>
          <t xml:space="preserve">  ▸  — LETTERS &amp; DOCUMENTS —</t>
        </is>
      </c>
    </row>
    <row r="34" ht="18" customHeight="1">
      <c r="A34" s="47" t="n">
        <v>30</v>
      </c>
      <c r="B34" s="50" t="inlineStr">
        <is>
          <t>Employees</t>
        </is>
      </c>
      <c r="C34" s="50" t="inlineStr">
        <is>
          <t>/hr/employees</t>
        </is>
      </c>
      <c r="D34" s="55" t="inlineStr">
        <is>
          <t>CLICK</t>
        </is>
      </c>
      <c r="E34" s="50" t="inlineStr">
        <is>
          <t>Generate Experience Letter — EMP-001</t>
        </is>
      </c>
      <c r="F34" s="52" t="inlineStr"/>
      <c r="G34" s="52" t="inlineStr"/>
      <c r="H34" s="50" t="inlineStr"/>
      <c r="I34" s="53" t="inlineStr"/>
      <c r="J34" s="50" t="inlineStr"/>
    </row>
    <row r="35" ht="32" customHeight="1">
      <c r="A35" s="47" t="n">
        <v>31</v>
      </c>
      <c r="B35" s="50" t="inlineStr">
        <is>
          <t>Employees</t>
        </is>
      </c>
      <c r="C35" s="50" t="inlineStr">
        <is>
          <t>/hr/employees</t>
        </is>
      </c>
      <c r="D35" s="51" t="inlineStr">
        <is>
          <t>ASSERT</t>
        </is>
      </c>
      <c r="E35" s="50" t="inlineStr">
        <is>
          <t>Experience letter content</t>
        </is>
      </c>
      <c r="F35" s="52" t="inlineStr">
        <is>
          <t>'Raju Goldsmith served as Senior Karigar from 01-Jan-2024 to 31-Jan-2024'</t>
        </is>
      </c>
      <c r="G35" s="57" t="inlineStr"/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Employees</t>
        </is>
      </c>
      <c r="C36" s="50" t="inlineStr">
        <is>
          <t>/hr/employees</t>
        </is>
      </c>
      <c r="D36" s="55" t="inlineStr">
        <is>
          <t>CLICK</t>
        </is>
      </c>
      <c r="E36" s="50" t="inlineStr">
        <is>
          <t>Generate Relieving Letter</t>
        </is>
      </c>
      <c r="F36" s="52" t="inlineStr"/>
      <c r="G36" s="52" t="inlineStr"/>
      <c r="H36" s="50" t="inlineStr"/>
      <c r="I36" s="53" t="inlineStr"/>
      <c r="J36" s="50" t="inlineStr"/>
    </row>
    <row r="37" ht="32" customHeight="1">
      <c r="A37" s="47" t="n">
        <v>33</v>
      </c>
      <c r="B37" s="50" t="inlineStr">
        <is>
          <t>Employees</t>
        </is>
      </c>
      <c r="C37" s="50" t="inlineStr">
        <is>
          <t>/hr/employees</t>
        </is>
      </c>
      <c r="D37" s="51" t="inlineStr">
        <is>
          <t>ASSERT</t>
        </is>
      </c>
      <c r="E37" s="50" t="inlineStr">
        <is>
          <t>Relieving letter</t>
        </is>
      </c>
      <c r="F37" s="52" t="inlineStr">
        <is>
          <t>'Relieved from duties on 31-Jan-2024 with no dues outstanding'</t>
        </is>
      </c>
      <c r="G37" s="57" t="inlineStr"/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Employees</t>
        </is>
      </c>
      <c r="C38" s="50" t="inlineStr">
        <is>
          <t>/hr/employees</t>
        </is>
      </c>
      <c r="D38" s="55" t="inlineStr">
        <is>
          <t>CLICK</t>
        </is>
      </c>
      <c r="E38" s="50" t="inlineStr">
        <is>
          <t>Generate PF Withdrawal Form</t>
        </is>
      </c>
      <c r="F38" s="52" t="inlineStr"/>
      <c r="G38" s="52" t="inlineStr">
        <is>
          <t>Form 19 + Form 10C auto-filled</t>
        </is>
      </c>
      <c r="H38" s="50" t="inlineStr"/>
      <c r="I38" s="53" t="inlineStr"/>
      <c r="J38" s="50" t="inlineStr"/>
    </row>
    <row r="39" ht="32" customHeight="1">
      <c r="A39" s="47" t="n">
        <v>35</v>
      </c>
      <c r="B39" s="50" t="inlineStr">
        <is>
          <t>Employees</t>
        </is>
      </c>
      <c r="C39" s="50" t="inlineStr">
        <is>
          <t>/hr/employees</t>
        </is>
      </c>
      <c r="D39" s="51" t="inlineStr">
        <is>
          <t>ASSERT</t>
        </is>
      </c>
      <c r="E39" s="50" t="inlineStr">
        <is>
          <t>PF form pre-filled</t>
        </is>
      </c>
      <c r="F39" s="52" t="inlineStr">
        <is>
          <t>UAN, PF account, bank details — all from employee master</t>
        </is>
      </c>
      <c r="G39" s="57" t="inlineStr"/>
      <c r="H39" s="50" t="inlineStr"/>
      <c r="I39" s="53" t="inlineStr"/>
      <c r="J39" s="50" t="inlineStr"/>
    </row>
    <row r="40" ht="16" customHeight="1">
      <c r="A40" s="70" t="inlineStr">
        <is>
          <t xml:space="preserve">  ▸  — EXIT INTERVIEW + FINAL STATUS —</t>
        </is>
      </c>
    </row>
    <row r="41" ht="18" customHeight="1">
      <c r="A41" s="47" t="n">
        <v>37</v>
      </c>
      <c r="B41" s="50" t="inlineStr">
        <is>
          <t>Employees</t>
        </is>
      </c>
      <c r="C41" s="50" t="inlineStr">
        <is>
          <t>/hr/employees</t>
        </is>
      </c>
      <c r="D41" s="55" t="inlineStr">
        <is>
          <t>CLICK</t>
        </is>
      </c>
      <c r="E41" s="50" t="inlineStr">
        <is>
          <t>Log Exit Interview</t>
        </is>
      </c>
      <c r="F41" s="52" t="inlineStr"/>
      <c r="G41" s="52" t="inlineStr">
        <is>
          <t>Exit interview form</t>
        </is>
      </c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Employees</t>
        </is>
      </c>
      <c r="C42" s="50" t="inlineStr">
        <is>
          <t>/hr/employees</t>
        </is>
      </c>
      <c r="D42" s="56" t="inlineStr">
        <is>
          <t>ENTER</t>
        </is>
      </c>
      <c r="E42" s="50" t="inlineStr">
        <is>
          <t>Reason category</t>
        </is>
      </c>
      <c r="F42" s="52" t="inlineStr">
        <is>
          <t>Personal — entrepreneurship</t>
        </is>
      </c>
      <c r="G42" s="52" t="inlineStr"/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Employees</t>
        </is>
      </c>
      <c r="C43" s="50" t="inlineStr">
        <is>
          <t>/hr/employees</t>
        </is>
      </c>
      <c r="D43" s="56" t="inlineStr">
        <is>
          <t>ENTER</t>
        </is>
      </c>
      <c r="E43" s="50" t="inlineStr">
        <is>
          <t>Would rehire</t>
        </is>
      </c>
      <c r="F43" s="52" t="inlineStr">
        <is>
          <t>Yes</t>
        </is>
      </c>
      <c r="G43" s="52" t="inlineStr"/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Employees</t>
        </is>
      </c>
      <c r="C44" s="50" t="inlineStr">
        <is>
          <t>/hr/employees</t>
        </is>
      </c>
      <c r="D44" s="56" t="inlineStr">
        <is>
          <t>ENTER</t>
        </is>
      </c>
      <c r="E44" s="50" t="inlineStr">
        <is>
          <t>Feedback on company</t>
        </is>
      </c>
      <c r="F44" s="52" t="inlineStr">
        <is>
          <t>Positive — good work environment</t>
        </is>
      </c>
      <c r="G44" s="52" t="inlineStr"/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Employees</t>
        </is>
      </c>
      <c r="C45" s="50" t="inlineStr">
        <is>
          <t>/hr/employees</t>
        </is>
      </c>
      <c r="D45" s="55" t="inlineStr">
        <is>
          <t>CLICK</t>
        </is>
      </c>
      <c r="E45" s="50" t="inlineStr">
        <is>
          <t>Complete Exit</t>
        </is>
      </c>
      <c r="F45" s="52" t="inlineStr"/>
      <c r="G45" s="52" t="inlineStr">
        <is>
          <t>EMP-001 status = Resigned. No longer active.</t>
        </is>
      </c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Employees</t>
        </is>
      </c>
      <c r="C46" s="50" t="inlineStr">
        <is>
          <t>/hr/employees</t>
        </is>
      </c>
      <c r="D46" s="51" t="inlineStr">
        <is>
          <t>ASSERT</t>
        </is>
      </c>
      <c r="E46" s="50" t="inlineStr">
        <is>
          <t>EMP-001 in system</t>
        </is>
      </c>
      <c r="F46" s="52" t="inlineStr">
        <is>
          <t>Status: Resigned — 31-Jan-2024</t>
        </is>
      </c>
      <c r="G46" s="57" t="inlineStr">
        <is>
          <t>Historical record retained</t>
        </is>
      </c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Employees</t>
        </is>
      </c>
      <c r="C47" s="50" t="inlineStr">
        <is>
          <t>/hr/employees</t>
        </is>
      </c>
      <c r="D47" s="51" t="inlineStr">
        <is>
          <t>ASSERT</t>
        </is>
      </c>
      <c r="E47" s="50" t="inlineStr">
        <is>
          <t>Login disabled</t>
        </is>
      </c>
      <c r="F47" s="52" t="inlineStr">
        <is>
          <t>EMP-001 cannot log into ESS portal</t>
        </is>
      </c>
      <c r="G47" s="57" t="inlineStr">
        <is>
          <t>Access revoked on exit</t>
        </is>
      </c>
      <c r="H47" s="50" t="inlineStr"/>
      <c r="I47" s="53" t="inlineStr"/>
      <c r="J47" s="50" t="inlineStr"/>
    </row>
  </sheetData>
  <mergeCells count="7">
    <mergeCell ref="A1:J1"/>
    <mergeCell ref="A6:J6"/>
    <mergeCell ref="A40:J40"/>
    <mergeCell ref="A15:J15"/>
    <mergeCell ref="A24:J24"/>
    <mergeCell ref="A2:J2"/>
    <mergeCell ref="A33:J3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22: Bank Reconciliation — Import Statement, Auto-Match, Handle Exceptions</t>
        </is>
      </c>
    </row>
    <row r="2" ht="16" customHeight="1">
      <c r="A2" s="46" t="inlineStr">
        <is>
          <t>Import HDFC Jan 2024 statement → auto-match 4 transactions → handle bank charges (journal entry) → mark outstanding cheque → generate reconciliation report</t>
        </is>
      </c>
    </row>
    <row r="3" ht="18" customHeight="1">
      <c r="A3" s="47" t="inlineStr">
        <is>
          <t>Flow</t>
        </is>
      </c>
      <c r="B3" s="48" t="inlineStr">
        <is>
          <t>F22</t>
        </is>
      </c>
      <c r="C3" s="47" t="inlineStr">
        <is>
          <t>Steps</t>
        </is>
      </c>
      <c r="D3" s="48" t="n">
        <v>31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74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SETUP</t>
        </is>
      </c>
      <c r="F5" s="52" t="inlineStr">
        <is>
          <t>Bank: HDFC Current Account. Period: January 2024. Prepare a bank statement CSV with 6 transactions. 4 will match ERP, 1 is bank charge not in ERP, 1 is ERP cheque not yet cleared.</t>
        </is>
      </c>
      <c r="G5" s="52" t="inlineStr"/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Bank Transactions</t>
        </is>
      </c>
      <c r="C6" s="50" t="inlineStr">
        <is>
          <t>/bank-transactions</t>
        </is>
      </c>
      <c r="D6" s="54" t="inlineStr">
        <is>
          <t>NAVIGATE</t>
        </is>
      </c>
      <c r="E6" s="50" t="inlineStr"/>
      <c r="F6" s="52" t="inlineStr"/>
      <c r="G6" s="52" t="inlineStr">
        <is>
          <t>Bank transactions screen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Bank Transactions</t>
        </is>
      </c>
      <c r="C7" s="50" t="inlineStr">
        <is>
          <t>/bank-transactions</t>
        </is>
      </c>
      <c r="D7" s="55" t="inlineStr">
        <is>
          <t>CLICK</t>
        </is>
      </c>
      <c r="E7" s="50" t="inlineStr">
        <is>
          <t>Import Bank Statement</t>
        </is>
      </c>
      <c r="F7" s="52" t="inlineStr"/>
      <c r="G7" s="52" t="inlineStr">
        <is>
          <t>File upload form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Bank Transactions</t>
        </is>
      </c>
      <c r="C8" s="50" t="inlineStr">
        <is>
          <t>/bank-transactions</t>
        </is>
      </c>
      <c r="D8" s="56" t="inlineStr">
        <is>
          <t>ENTER</t>
        </is>
      </c>
      <c r="E8" s="50" t="inlineStr">
        <is>
          <t>Bank Account</t>
        </is>
      </c>
      <c r="F8" s="52" t="inlineStr">
        <is>
          <t>HDFC Current — 9876543210</t>
        </is>
      </c>
      <c r="G8" s="52" t="inlineStr"/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Bank Transactions</t>
        </is>
      </c>
      <c r="C9" s="50" t="inlineStr">
        <is>
          <t>/bank-transactions</t>
        </is>
      </c>
      <c r="D9" s="56" t="inlineStr">
        <is>
          <t>ENTER</t>
        </is>
      </c>
      <c r="E9" s="50" t="inlineStr">
        <is>
          <t>Statement Period</t>
        </is>
      </c>
      <c r="F9" s="52" t="inlineStr">
        <is>
          <t>01-Jan-2024 to 31-Jan-2024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Bank Transactions</t>
        </is>
      </c>
      <c r="C10" s="50" t="inlineStr">
        <is>
          <t>/bank-transactions</t>
        </is>
      </c>
      <c r="D10" s="55" t="inlineStr">
        <is>
          <t>CLICK</t>
        </is>
      </c>
      <c r="E10" s="50" t="inlineStr">
        <is>
          <t>Upload CSV</t>
        </is>
      </c>
      <c r="F10" s="52" t="inlineStr">
        <is>
          <t>hdfc_jan_2024.csv</t>
        </is>
      </c>
      <c r="G10" s="52" t="inlineStr">
        <is>
          <t>Bank statement file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Bank Transactions</t>
        </is>
      </c>
      <c r="C11" s="50" t="inlineStr">
        <is>
          <t>/bank-transactions</t>
        </is>
      </c>
      <c r="D11" s="51" t="inlineStr">
        <is>
          <t>ASSERT</t>
        </is>
      </c>
      <c r="E11" s="50" t="inlineStr">
        <is>
          <t>Import summary</t>
        </is>
      </c>
      <c r="F11" s="52" t="inlineStr">
        <is>
          <t>6 transactions imported</t>
        </is>
      </c>
      <c r="G11" s="57" t="inlineStr"/>
      <c r="H11" s="50" t="inlineStr"/>
      <c r="I11" s="53" t="inlineStr"/>
      <c r="J11" s="50" t="inlineStr"/>
    </row>
    <row r="12" ht="16" customHeight="1">
      <c r="A12" s="70" t="inlineStr">
        <is>
          <t xml:space="preserve">  ▸  — AUTO-MATCHING —</t>
        </is>
      </c>
    </row>
    <row r="13" ht="18" customHeight="1">
      <c r="A13" s="47" t="n">
        <v>9</v>
      </c>
      <c r="B13" s="50" t="inlineStr">
        <is>
          <t>Bank Transactions</t>
        </is>
      </c>
      <c r="C13" s="50" t="inlineStr">
        <is>
          <t>/bank-transactions</t>
        </is>
      </c>
      <c r="D13" s="55" t="inlineStr">
        <is>
          <t>CLICK</t>
        </is>
      </c>
      <c r="E13" s="50" t="inlineStr">
        <is>
          <t>Run Auto-Match</t>
        </is>
      </c>
      <c r="F13" s="52" t="inlineStr"/>
      <c r="G13" s="52" t="inlineStr">
        <is>
          <t>System attempts to match bank rows with ERP entries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Bank Transactions</t>
        </is>
      </c>
      <c r="C14" s="50" t="inlineStr">
        <is>
          <t>/bank-transactions</t>
        </is>
      </c>
      <c r="D14" s="51" t="inlineStr">
        <is>
          <t>ASSERT</t>
        </is>
      </c>
      <c r="E14" s="50" t="inlineStr">
        <is>
          <t>Matched transactions</t>
        </is>
      </c>
      <c r="F14" s="52" t="inlineStr">
        <is>
          <t>4 matched automatically</t>
        </is>
      </c>
      <c r="G14" s="57" t="inlineStr">
        <is>
          <t>Amount + date match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Bank Transactions</t>
        </is>
      </c>
      <c r="C15" s="50" t="inlineStr">
        <is>
          <t>/bank-transactions</t>
        </is>
      </c>
      <c r="D15" s="51" t="inlineStr">
        <is>
          <t>ASSERT</t>
        </is>
      </c>
      <c r="E15" s="50" t="inlineStr">
        <is>
          <t>Matched T1</t>
        </is>
      </c>
      <c r="F15" s="52" t="inlineStr">
        <is>
          <t>₹7,27,565 — Krishna Bullion payment (F5)</t>
        </is>
      </c>
      <c r="G15" s="57" t="inlineStr">
        <is>
          <t>Bullion invoice payment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Bank Transactions</t>
        </is>
      </c>
      <c r="C16" s="50" t="inlineStr">
        <is>
          <t>/bank-transactions</t>
        </is>
      </c>
      <c r="D16" s="51" t="inlineStr">
        <is>
          <t>ASSERT</t>
        </is>
      </c>
      <c r="E16" s="50" t="inlineStr">
        <is>
          <t>Matched T2</t>
        </is>
      </c>
      <c r="F16" s="52" t="inlineStr">
        <is>
          <t>₹87,550 — Madhava Stone Traders (F17)</t>
        </is>
      </c>
      <c r="G16" s="57" t="inlineStr">
        <is>
          <t>Vendor payment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Bank Transactions</t>
        </is>
      </c>
      <c r="C17" s="50" t="inlineStr">
        <is>
          <t>/bank-transactions</t>
        </is>
      </c>
      <c r="D17" s="51" t="inlineStr">
        <is>
          <t>ASSERT</t>
        </is>
      </c>
      <c r="E17" s="50" t="inlineStr">
        <is>
          <t>Matched T3</t>
        </is>
      </c>
      <c r="F17" s="52" t="inlineStr">
        <is>
          <t>₹48,763 — POS UPI receipt (F2)</t>
        </is>
      </c>
      <c r="G17" s="57" t="inlineStr">
        <is>
          <t>POS collection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Bank Transactions</t>
        </is>
      </c>
      <c r="C18" s="50" t="inlineStr">
        <is>
          <t>/bank-transactions</t>
        </is>
      </c>
      <c r="D18" s="51" t="inlineStr">
        <is>
          <t>ASSERT</t>
        </is>
      </c>
      <c r="E18" s="50" t="inlineStr">
        <is>
          <t>Matched T4</t>
        </is>
      </c>
      <c r="F18" s="52" t="inlineStr">
        <is>
          <t>₹19,200 — F&amp;F payment to Raju (F21)</t>
        </is>
      </c>
      <c r="G18" s="57" t="inlineStr">
        <is>
          <t>HR payment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Bank Transactions</t>
        </is>
      </c>
      <c r="C19" s="50" t="inlineStr">
        <is>
          <t>/bank-transactions</t>
        </is>
      </c>
      <c r="D19" s="51" t="inlineStr">
        <is>
          <t>ASSERT</t>
        </is>
      </c>
      <c r="E19" s="50" t="inlineStr">
        <is>
          <t>Unmatched — Bank side</t>
        </is>
      </c>
      <c r="F19" s="52" t="inlineStr">
        <is>
          <t>₹750 — Bank charges Jan 2024</t>
        </is>
      </c>
      <c r="G19" s="57" t="inlineStr">
        <is>
          <t>Not in ERP books</t>
        </is>
      </c>
      <c r="H19" s="50" t="inlineStr"/>
      <c r="I19" s="53" t="inlineStr"/>
      <c r="J19" s="50" t="inlineStr"/>
    </row>
    <row r="20" ht="32" customHeight="1">
      <c r="A20" s="47" t="n">
        <v>16</v>
      </c>
      <c r="B20" s="50" t="inlineStr">
        <is>
          <t>Bank Transactions</t>
        </is>
      </c>
      <c r="C20" s="50" t="inlineStr">
        <is>
          <t>/bank-transactions</t>
        </is>
      </c>
      <c r="D20" s="51" t="inlineStr">
        <is>
          <t>ASSERT</t>
        </is>
      </c>
      <c r="E20" s="50" t="inlineStr">
        <is>
          <t>Unmatched — ERP side</t>
        </is>
      </c>
      <c r="F20" s="52" t="inlineStr">
        <is>
          <t>₹87,550 cheque to Madhava — issued not cleared</t>
        </is>
      </c>
      <c r="G20" s="57" t="inlineStr">
        <is>
          <t>In ERP but not yet in bank</t>
        </is>
      </c>
      <c r="H20" s="50" t="inlineStr"/>
      <c r="I20" s="53" t="inlineStr"/>
      <c r="J20" s="50" t="inlineStr"/>
    </row>
    <row r="21" ht="16" customHeight="1">
      <c r="A21" s="70" t="inlineStr">
        <is>
          <t xml:space="preserve">  ▸  — HANDLE UNMATCHED —</t>
        </is>
      </c>
    </row>
    <row r="22" ht="18" customHeight="1">
      <c r="A22" s="47" t="n">
        <v>18</v>
      </c>
      <c r="B22" s="50" t="inlineStr">
        <is>
          <t>Bank Transactions</t>
        </is>
      </c>
      <c r="C22" s="50" t="inlineStr">
        <is>
          <t>/bank-transactions</t>
        </is>
      </c>
      <c r="D22" s="55" t="inlineStr">
        <is>
          <t>CLICK</t>
        </is>
      </c>
      <c r="E22" s="50" t="inlineStr">
        <is>
          <t>Handle: Bank charge ₹750</t>
        </is>
      </c>
      <c r="F22" s="52" t="inlineStr"/>
      <c r="G22" s="52" t="inlineStr">
        <is>
          <t>Resolution options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Bank Transactions</t>
        </is>
      </c>
      <c r="C23" s="50" t="inlineStr">
        <is>
          <t>/bank-transactions</t>
        </is>
      </c>
      <c r="D23" s="55" t="inlineStr">
        <is>
          <t>CLICK</t>
        </is>
      </c>
      <c r="E23" s="50" t="inlineStr">
        <is>
          <t>Create Journal Entry for bank charge</t>
        </is>
      </c>
      <c r="F23" s="52" t="inlineStr"/>
      <c r="G23" s="52" t="inlineStr"/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Bank Transactions</t>
        </is>
      </c>
      <c r="C24" s="50" t="inlineStr">
        <is>
          <t>/bank-transactions</t>
        </is>
      </c>
      <c r="D24" s="56" t="inlineStr">
        <is>
          <t>ENTER</t>
        </is>
      </c>
      <c r="E24" s="50" t="inlineStr">
        <is>
          <t>Account</t>
        </is>
      </c>
      <c r="F24" s="52" t="inlineStr">
        <is>
          <t>Bank Charges Expense</t>
        </is>
      </c>
      <c r="G24" s="52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Bank Transactions</t>
        </is>
      </c>
      <c r="C25" s="50" t="inlineStr">
        <is>
          <t>/bank-transactions</t>
        </is>
      </c>
      <c r="D25" s="56" t="inlineStr">
        <is>
          <t>ENTER</t>
        </is>
      </c>
      <c r="E25" s="50" t="inlineStr">
        <is>
          <t>Amount</t>
        </is>
      </c>
      <c r="F25" s="52" t="inlineStr">
        <is>
          <t>₹750</t>
        </is>
      </c>
      <c r="G25" s="52" t="inlineStr"/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Bank Transactions</t>
        </is>
      </c>
      <c r="C26" s="50" t="inlineStr">
        <is>
          <t>/bank-transactions</t>
        </is>
      </c>
      <c r="D26" s="55" t="inlineStr">
        <is>
          <t>CLICK</t>
        </is>
      </c>
      <c r="E26" s="50" t="inlineStr">
        <is>
          <t>Save Journal Entry</t>
        </is>
      </c>
      <c r="F26" s="52" t="inlineStr"/>
      <c r="G26" s="52" t="inlineStr">
        <is>
          <t>Bank charge posted. Now matched.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Bank Transactions</t>
        </is>
      </c>
      <c r="C27" s="50" t="inlineStr">
        <is>
          <t>/bank-transactions</t>
        </is>
      </c>
      <c r="D27" s="55" t="inlineStr">
        <is>
          <t>CLICK</t>
        </is>
      </c>
      <c r="E27" s="50" t="inlineStr">
        <is>
          <t>Handle: Uncleared cheque ₹87,550</t>
        </is>
      </c>
      <c r="F27" s="52" t="inlineStr"/>
      <c r="G27" s="52" t="inlineStr"/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Bank Transactions</t>
        </is>
      </c>
      <c r="C28" s="50" t="inlineStr">
        <is>
          <t>/bank-transactions</t>
        </is>
      </c>
      <c r="D28" s="56" t="inlineStr">
        <is>
          <t>ENTER</t>
        </is>
      </c>
      <c r="E28" s="50" t="inlineStr">
        <is>
          <t>Status</t>
        </is>
      </c>
      <c r="F28" s="52" t="inlineStr">
        <is>
          <t>Mark as Outstanding Cheque</t>
        </is>
      </c>
      <c r="G28" s="52" t="inlineStr">
        <is>
          <t>Will clear next month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Bank Transactions</t>
        </is>
      </c>
      <c r="C29" s="50" t="inlineStr">
        <is>
          <t>/bank-transactions</t>
        </is>
      </c>
      <c r="D29" s="55" t="inlineStr">
        <is>
          <t>CLICK</t>
        </is>
      </c>
      <c r="E29" s="50" t="inlineStr">
        <is>
          <t>Save</t>
        </is>
      </c>
      <c r="F29" s="52" t="inlineStr"/>
      <c r="G29" s="52" t="inlineStr">
        <is>
          <t>Marked as outstanding.</t>
        </is>
      </c>
      <c r="H29" s="50" t="inlineStr"/>
      <c r="I29" s="53" t="inlineStr"/>
      <c r="J29" s="50" t="inlineStr"/>
    </row>
    <row r="30" ht="16" customHeight="1">
      <c r="A30" s="70" t="inlineStr">
        <is>
          <t xml:space="preserve">  ▸  — RECONCILIATION REPORT —</t>
        </is>
      </c>
    </row>
    <row r="31" ht="18" customHeight="1">
      <c r="A31" s="47" t="n">
        <v>27</v>
      </c>
      <c r="B31" s="50" t="inlineStr">
        <is>
          <t>Bank Transactions</t>
        </is>
      </c>
      <c r="C31" s="50" t="inlineStr">
        <is>
          <t>/bank-transactions</t>
        </is>
      </c>
      <c r="D31" s="55" t="inlineStr">
        <is>
          <t>CLICK</t>
        </is>
      </c>
      <c r="E31" s="50" t="inlineStr">
        <is>
          <t>Generate Reconciliation Report</t>
        </is>
      </c>
      <c r="F31" s="52" t="inlineStr"/>
      <c r="G31" s="52" t="inlineStr"/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Bank Transactions</t>
        </is>
      </c>
      <c r="C32" s="50" t="inlineStr">
        <is>
          <t>/bank-transactions</t>
        </is>
      </c>
      <c r="D32" s="51" t="inlineStr">
        <is>
          <t>ASSERT</t>
        </is>
      </c>
      <c r="E32" s="50" t="inlineStr">
        <is>
          <t>Bank balance (statement)</t>
        </is>
      </c>
      <c r="F32" s="52" t="inlineStr">
        <is>
          <t>Per HDFC statement closing balance</t>
        </is>
      </c>
      <c r="G32" s="57" t="inlineStr"/>
      <c r="H32" s="50" t="inlineStr"/>
      <c r="I32" s="53" t="inlineStr"/>
      <c r="J32" s="50" t="inlineStr"/>
    </row>
    <row r="33" ht="32" customHeight="1">
      <c r="A33" s="47" t="n">
        <v>29</v>
      </c>
      <c r="B33" s="50" t="inlineStr">
        <is>
          <t>Bank Transactions</t>
        </is>
      </c>
      <c r="C33" s="50" t="inlineStr">
        <is>
          <t>/bank-transactions</t>
        </is>
      </c>
      <c r="D33" s="51" t="inlineStr">
        <is>
          <t>ASSERT</t>
        </is>
      </c>
      <c r="E33" s="50" t="inlineStr">
        <is>
          <t>ERP bank balance</t>
        </is>
      </c>
      <c r="F33" s="52" t="inlineStr">
        <is>
          <t>Statement balance − outstanding cheque ₹87,550</t>
        </is>
      </c>
      <c r="G33" s="57" t="inlineStr">
        <is>
          <t>Timing difference explained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Bank Transactions</t>
        </is>
      </c>
      <c r="C34" s="50" t="inlineStr">
        <is>
          <t>/bank-transactions</t>
        </is>
      </c>
      <c r="D34" s="51" t="inlineStr">
        <is>
          <t>ASSERT</t>
        </is>
      </c>
      <c r="E34" s="50" t="inlineStr">
        <is>
          <t>Reconciliation status</t>
        </is>
      </c>
      <c r="F34" s="52" t="inlineStr">
        <is>
          <t>Reconciled (with ₹87,550 outstanding)</t>
        </is>
      </c>
      <c r="G34" s="57" t="inlineStr">
        <is>
          <t>No unexplained differences</t>
        </is>
      </c>
      <c r="H34" s="50" t="inlineStr"/>
      <c r="I34" s="53" t="inlineStr"/>
      <c r="J34" s="50" t="inlineStr">
        <is>
          <t>CRITICAL</t>
        </is>
      </c>
    </row>
    <row r="35" ht="18" customHeight="1">
      <c r="A35" s="47" t="n">
        <v>31</v>
      </c>
      <c r="B35" s="50" t="inlineStr">
        <is>
          <t>Bank Transactions</t>
        </is>
      </c>
      <c r="C35" s="50" t="inlineStr">
        <is>
          <t>/bank-transactions</t>
        </is>
      </c>
      <c r="D35" s="51" t="inlineStr">
        <is>
          <t>ASSERT</t>
        </is>
      </c>
      <c r="E35" s="50" t="inlineStr">
        <is>
          <t>Report download</t>
        </is>
      </c>
      <c r="F35" s="52" t="inlineStr">
        <is>
          <t>PDF/Excel reconciliation statement</t>
        </is>
      </c>
      <c r="G35" s="57" t="inlineStr">
        <is>
          <t>Auditor-ready format</t>
        </is>
      </c>
      <c r="H35" s="50" t="inlineStr"/>
      <c r="I35" s="53" t="inlineStr"/>
      <c r="J35" s="50" t="inlineStr"/>
    </row>
  </sheetData>
  <mergeCells count="5">
    <mergeCell ref="A1:J1"/>
    <mergeCell ref="A21:J21"/>
    <mergeCell ref="A30:J30"/>
    <mergeCell ref="A12:J12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23: CRM Dashboards &amp; Reports — Pipeline, Funnel, Campaign ROI, Analytics</t>
        </is>
      </c>
    </row>
    <row r="2" ht="16" customHeight="1">
      <c r="A2" s="46" t="inlineStr">
        <is>
          <t>CRM dashboard → sales funnel insights → campaign ROI → follow-up view → customer acquisition report → export</t>
        </is>
      </c>
    </row>
    <row r="3" ht="18" customHeight="1">
      <c r="A3" s="47" t="inlineStr">
        <is>
          <t>Flow</t>
        </is>
      </c>
      <c r="B3" s="48" t="inlineStr">
        <is>
          <t>F23</t>
        </is>
      </c>
      <c r="C3" s="47" t="inlineStr">
        <is>
          <t>Steps</t>
        </is>
      </c>
      <c r="D3" s="48" t="n">
        <v>28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46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SETUP</t>
        </is>
      </c>
      <c r="F5" s="52" t="inlineStr">
        <is>
          <t>Run after F15 (CRM flow). Uses data: LEAD-001 converted, ENQ-CRM-001, Campaign Diwali 2024 sent to 3 contacts.</t>
        </is>
      </c>
      <c r="G5" s="52" t="inlineStr"/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CRM Leads</t>
        </is>
      </c>
      <c r="C6" s="50" t="inlineStr">
        <is>
          <t>/crm</t>
        </is>
      </c>
      <c r="D6" s="54" t="inlineStr">
        <is>
          <t>NAVIGATE</t>
        </is>
      </c>
      <c r="E6" s="50" t="inlineStr"/>
      <c r="F6" s="52" t="inlineStr"/>
      <c r="G6" s="52" t="inlineStr">
        <is>
          <t>CRM main dashboard</t>
        </is>
      </c>
      <c r="H6" s="50" t="inlineStr"/>
      <c r="I6" s="53" t="inlineStr"/>
      <c r="J6" s="50" t="inlineStr"/>
    </row>
    <row r="7" ht="32" customHeight="1">
      <c r="A7" s="47" t="n">
        <v>3</v>
      </c>
      <c r="B7" s="50" t="inlineStr">
        <is>
          <t>CRM Leads</t>
        </is>
      </c>
      <c r="C7" s="50" t="inlineStr">
        <is>
          <t>/crm</t>
        </is>
      </c>
      <c r="D7" s="51" t="inlineStr">
        <is>
          <t>ASSERT</t>
        </is>
      </c>
      <c r="E7" s="50" t="inlineStr">
        <is>
          <t>Pipeline summary</t>
        </is>
      </c>
      <c r="F7" s="52" t="inlineStr">
        <is>
          <t>1 lead (LEAD-001 Won) | 1 enquiry (ENQ-CRM-001) | 1 order</t>
        </is>
      </c>
      <c r="G7" s="57" t="inlineStr">
        <is>
          <t>Full funnel visible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CRM Leads</t>
        </is>
      </c>
      <c r="C8" s="50" t="inlineStr">
        <is>
          <t>/crm</t>
        </is>
      </c>
      <c r="D8" s="51" t="inlineStr">
        <is>
          <t>ASSERT</t>
        </is>
      </c>
      <c r="E8" s="50" t="inlineStr">
        <is>
          <t>Pipeline value</t>
        </is>
      </c>
      <c r="F8" s="52" t="inlineStr">
        <is>
          <t>₹1,93,540</t>
        </is>
      </c>
      <c r="G8" s="57" t="inlineStr">
        <is>
          <t>Vijay Kumar wedding order value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CRM Leads</t>
        </is>
      </c>
      <c r="C9" s="50" t="inlineStr">
        <is>
          <t>/crm</t>
        </is>
      </c>
      <c r="D9" s="51" t="inlineStr">
        <is>
          <t>ASSERT</t>
        </is>
      </c>
      <c r="E9" s="50" t="inlineStr">
        <is>
          <t>Conversion rate</t>
        </is>
      </c>
      <c r="F9" s="52" t="inlineStr">
        <is>
          <t>100%</t>
        </is>
      </c>
      <c r="G9" s="57" t="inlineStr">
        <is>
          <t>1 lead → 1 customer (small sample)</t>
        </is>
      </c>
      <c r="H9" s="50" t="inlineStr"/>
      <c r="I9" s="53" t="inlineStr"/>
      <c r="J9" s="50" t="inlineStr"/>
    </row>
    <row r="10" ht="16" customHeight="1">
      <c r="A10" s="70" t="inlineStr">
        <is>
          <t xml:space="preserve">  ▸  — SALES FUNNEL INSIGHTS —</t>
        </is>
      </c>
    </row>
    <row r="11" ht="18" customHeight="1">
      <c r="A11" s="47" t="n">
        <v>7</v>
      </c>
      <c r="B11" s="50" t="inlineStr">
        <is>
          <t>CRM Leads</t>
        </is>
      </c>
      <c r="C11" s="50" t="inlineStr">
        <is>
          <t>/crm/funnel</t>
        </is>
      </c>
      <c r="D11" s="55" t="inlineStr">
        <is>
          <t>CLICK</t>
        </is>
      </c>
      <c r="E11" s="50" t="inlineStr">
        <is>
          <t>Sales Funnel Insights</t>
        </is>
      </c>
      <c r="F11" s="52" t="inlineStr"/>
      <c r="G11" s="52" t="inlineStr">
        <is>
          <t>Funnel report</t>
        </is>
      </c>
      <c r="H11" s="50" t="inlineStr"/>
      <c r="I11" s="53" t="inlineStr"/>
      <c r="J11" s="50" t="inlineStr"/>
    </row>
    <row r="12" ht="32" customHeight="1">
      <c r="A12" s="47" t="n">
        <v>8</v>
      </c>
      <c r="B12" s="50" t="inlineStr">
        <is>
          <t>CRM Leads</t>
        </is>
      </c>
      <c r="C12" s="50" t="inlineStr">
        <is>
          <t>/crm/funnel</t>
        </is>
      </c>
      <c r="D12" s="51" t="inlineStr">
        <is>
          <t>ASSERT</t>
        </is>
      </c>
      <c r="E12" s="50" t="inlineStr">
        <is>
          <t>Stage breakdown</t>
        </is>
      </c>
      <c r="F12" s="52" t="inlineStr">
        <is>
          <t>Leads: 1 | Enquiries: 1 | Quotes sent: 1 | Won: 1 | Lost: 0</t>
        </is>
      </c>
      <c r="G12" s="57" t="inlineStr"/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CRM Leads</t>
        </is>
      </c>
      <c r="C13" s="50" t="inlineStr">
        <is>
          <t>/crm/funnel</t>
        </is>
      </c>
      <c r="D13" s="51" t="inlineStr">
        <is>
          <t>ASSERT</t>
        </is>
      </c>
      <c r="E13" s="50" t="inlineStr">
        <is>
          <t>Avg time Lead→Won</t>
        </is>
      </c>
      <c r="F13" s="52" t="inlineStr">
        <is>
          <t>Same day (test scenario)</t>
        </is>
      </c>
      <c r="G13" s="57" t="inlineStr">
        <is>
          <t>In production: track days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CRM Leads</t>
        </is>
      </c>
      <c r="C14" s="50" t="inlineStr">
        <is>
          <t>/crm/funnel</t>
        </is>
      </c>
      <c r="D14" s="51" t="inlineStr">
        <is>
          <t>ASSERT</t>
        </is>
      </c>
      <c r="E14" s="50" t="inlineStr">
        <is>
          <t>Revenue from CRM</t>
        </is>
      </c>
      <c r="F14" s="52" t="inlineStr">
        <is>
          <t>₹1,93,540 (Vijay Kumar)</t>
        </is>
      </c>
      <c r="G14" s="57" t="inlineStr">
        <is>
          <t>Pending order</t>
        </is>
      </c>
      <c r="H14" s="50" t="inlineStr"/>
      <c r="I14" s="53" t="inlineStr"/>
      <c r="J14" s="50" t="inlineStr"/>
    </row>
    <row r="15" ht="16" customHeight="1">
      <c r="A15" s="70" t="inlineStr">
        <is>
          <t xml:space="preserve">  ▸  — CAMPAIGN ROI REPORT —</t>
        </is>
      </c>
    </row>
    <row r="16" ht="18" customHeight="1">
      <c r="A16" s="47" t="n">
        <v>12</v>
      </c>
      <c r="B16" s="50" t="inlineStr">
        <is>
          <t>CRM Leads</t>
        </is>
      </c>
      <c r="C16" s="50" t="inlineStr">
        <is>
          <t>/crm/campaigns</t>
        </is>
      </c>
      <c r="D16" s="55" t="inlineStr">
        <is>
          <t>CLICK</t>
        </is>
      </c>
      <c r="E16" s="50" t="inlineStr">
        <is>
          <t>Campaign Analytics — Diwali 2024</t>
        </is>
      </c>
      <c r="F16" s="52" t="inlineStr"/>
      <c r="G16" s="52" t="inlineStr">
        <is>
          <t>Campaign report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CRM Leads</t>
        </is>
      </c>
      <c r="C17" s="50" t="inlineStr">
        <is>
          <t>/crm/campaigns</t>
        </is>
      </c>
      <c r="D17" s="51" t="inlineStr">
        <is>
          <t>ASSERT</t>
        </is>
      </c>
      <c r="E17" s="50" t="inlineStr">
        <is>
          <t>Messages sent</t>
        </is>
      </c>
      <c r="F17" s="52" t="inlineStr">
        <is>
          <t>3</t>
        </is>
      </c>
      <c r="G17" s="57" t="inlineStr">
        <is>
          <t>All Gold Members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CRM Leads</t>
        </is>
      </c>
      <c r="C18" s="50" t="inlineStr">
        <is>
          <t>/crm/campaigns</t>
        </is>
      </c>
      <c r="D18" s="51" t="inlineStr">
        <is>
          <t>ASSERT</t>
        </is>
      </c>
      <c r="E18" s="50" t="inlineStr">
        <is>
          <t>Messages delivered</t>
        </is>
      </c>
      <c r="F18" s="52" t="inlineStr">
        <is>
          <t>3/3 (100%)</t>
        </is>
      </c>
      <c r="G18" s="57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CRM Leads</t>
        </is>
      </c>
      <c r="C19" s="50" t="inlineStr">
        <is>
          <t>/crm/campaigns</t>
        </is>
      </c>
      <c r="D19" s="51" t="inlineStr">
        <is>
          <t>ASSERT</t>
        </is>
      </c>
      <c r="E19" s="50" t="inlineStr">
        <is>
          <t>Responses / actions</t>
        </is>
      </c>
      <c r="F19" s="52" t="inlineStr">
        <is>
          <t>0 direct responses (test scenario)</t>
        </is>
      </c>
      <c r="G19" s="57" t="inlineStr">
        <is>
          <t>In production: track replies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CRM Leads</t>
        </is>
      </c>
      <c r="C20" s="50" t="inlineStr">
        <is>
          <t>/crm/campaigns</t>
        </is>
      </c>
      <c r="D20" s="51" t="inlineStr">
        <is>
          <t>ASSERT</t>
        </is>
      </c>
      <c r="E20" s="50" t="inlineStr">
        <is>
          <t>Revenue attributed</t>
        </is>
      </c>
      <c r="F20" s="52" t="inlineStr">
        <is>
          <t>Link if sale followed within 30 days</t>
        </is>
      </c>
      <c r="G20" s="57" t="inlineStr">
        <is>
          <t>Campaign attribution window</t>
        </is>
      </c>
      <c r="H20" s="50" t="inlineStr"/>
      <c r="I20" s="53" t="inlineStr"/>
      <c r="J20" s="50" t="inlineStr"/>
    </row>
    <row r="21" ht="16" customHeight="1">
      <c r="A21" s="70" t="inlineStr">
        <is>
          <t xml:space="preserve">  ▸  — FOLLOW-UP DASHBOARD —</t>
        </is>
      </c>
    </row>
    <row r="22" ht="18" customHeight="1">
      <c r="A22" s="47" t="n">
        <v>18</v>
      </c>
      <c r="B22" s="50" t="inlineStr">
        <is>
          <t>CRM Leads</t>
        </is>
      </c>
      <c r="C22" s="50" t="inlineStr">
        <is>
          <t>/crm/follow-ups</t>
        </is>
      </c>
      <c r="D22" s="55" t="inlineStr">
        <is>
          <t>CLICK</t>
        </is>
      </c>
      <c r="E22" s="50" t="inlineStr">
        <is>
          <t>Follow-up Scheduler View</t>
        </is>
      </c>
      <c r="F22" s="52" t="inlineStr"/>
      <c r="G22" s="52" t="inlineStr">
        <is>
          <t>Follow-up list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CRM Leads</t>
        </is>
      </c>
      <c r="C23" s="50" t="inlineStr">
        <is>
          <t>/crm/follow-ups</t>
        </is>
      </c>
      <c r="D23" s="51" t="inlineStr">
        <is>
          <t>ASSERT</t>
        </is>
      </c>
      <c r="E23" s="50" t="inlineStr">
        <is>
          <t>Overdue follow-ups</t>
        </is>
      </c>
      <c r="F23" s="52" t="inlineStr">
        <is>
          <t>0 (LEAD-001 was converted)</t>
        </is>
      </c>
      <c r="G23" s="57" t="inlineStr">
        <is>
          <t>No open follow-ups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CRM Leads</t>
        </is>
      </c>
      <c r="C24" s="50" t="inlineStr">
        <is>
          <t>/crm/follow-ups</t>
        </is>
      </c>
      <c r="D24" s="51" t="inlineStr">
        <is>
          <t>ASSERT</t>
        </is>
      </c>
      <c r="E24" s="50" t="inlineStr">
        <is>
          <t>Upcoming this week</t>
        </is>
      </c>
      <c r="F24" s="52" t="inlineStr">
        <is>
          <t>Any scheduled</t>
        </is>
      </c>
      <c r="G24" s="57" t="inlineStr"/>
      <c r="H24" s="50" t="inlineStr"/>
      <c r="I24" s="53" t="inlineStr"/>
      <c r="J24" s="50" t="inlineStr"/>
    </row>
    <row r="25" ht="16" customHeight="1">
      <c r="A25" s="70" t="inlineStr">
        <is>
          <t xml:space="preserve">  ▸  — CUSTOMER ANALYTICS —</t>
        </is>
      </c>
    </row>
    <row r="26" ht="18" customHeight="1">
      <c r="A26" s="47" t="n">
        <v>22</v>
      </c>
      <c r="B26" s="50" t="inlineStr">
        <is>
          <t>CRM Leads</t>
        </is>
      </c>
      <c r="C26" s="50" t="inlineStr">
        <is>
          <t>/crm/reports</t>
        </is>
      </c>
      <c r="D26" s="55" t="inlineStr">
        <is>
          <t>CLICK</t>
        </is>
      </c>
      <c r="E26" s="50" t="inlineStr">
        <is>
          <t>CRM Reports</t>
        </is>
      </c>
      <c r="F26" s="52" t="inlineStr"/>
      <c r="G26" s="52" t="inlineStr">
        <is>
          <t>Report list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CRM Leads</t>
        </is>
      </c>
      <c r="C27" s="50" t="inlineStr">
        <is>
          <t>/crm/reports</t>
        </is>
      </c>
      <c r="D27" s="55" t="inlineStr">
        <is>
          <t>CLICK</t>
        </is>
      </c>
      <c r="E27" s="50" t="inlineStr">
        <is>
          <t>Customer Acquisition Report</t>
        </is>
      </c>
      <c r="F27" s="52" t="inlineStr"/>
      <c r="G27" s="52" t="inlineStr"/>
      <c r="H27" s="50" t="inlineStr"/>
      <c r="I27" s="53" t="inlineStr"/>
      <c r="J27" s="50" t="inlineStr"/>
    </row>
    <row r="28" ht="32" customHeight="1">
      <c r="A28" s="47" t="n">
        <v>24</v>
      </c>
      <c r="B28" s="50" t="inlineStr">
        <is>
          <t>CRM Leads</t>
        </is>
      </c>
      <c r="C28" s="50" t="inlineStr">
        <is>
          <t>/crm/reports</t>
        </is>
      </c>
      <c r="D28" s="51" t="inlineStr">
        <is>
          <t>ASSERT</t>
        </is>
      </c>
      <c r="E28" s="50" t="inlineStr">
        <is>
          <t>New customers this month</t>
        </is>
      </c>
      <c r="F28" s="52" t="inlineStr">
        <is>
          <t>2 (Vijay Kumar + Arjun Mehta from e-commerce)</t>
        </is>
      </c>
      <c r="G28" s="57" t="inlineStr"/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CRM Leads</t>
        </is>
      </c>
      <c r="C29" s="50" t="inlineStr">
        <is>
          <t>/crm/reports</t>
        </is>
      </c>
      <c r="D29" s="55" t="inlineStr">
        <is>
          <t>CLICK</t>
        </is>
      </c>
      <c r="E29" s="50" t="inlineStr">
        <is>
          <t>Repeat vs New Customer split</t>
        </is>
      </c>
      <c r="F29" s="52" t="inlineStr"/>
      <c r="G29" s="52" t="inlineStr"/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CRM Leads</t>
        </is>
      </c>
      <c r="C30" s="50" t="inlineStr">
        <is>
          <t>/crm/reports</t>
        </is>
      </c>
      <c r="D30" s="51" t="inlineStr">
        <is>
          <t>ASSERT</t>
        </is>
      </c>
      <c r="E30" s="50" t="inlineStr">
        <is>
          <t>Repeat customers</t>
        </is>
      </c>
      <c r="F30" s="52" t="inlineStr">
        <is>
          <t>Meena Reddy (2 visits)</t>
        </is>
      </c>
      <c r="G30" s="57" t="inlineStr">
        <is>
          <t>From F2 + approval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CRM Leads</t>
        </is>
      </c>
      <c r="C31" s="50" t="inlineStr">
        <is>
          <t>/crm/reports</t>
        </is>
      </c>
      <c r="D31" s="55" t="inlineStr">
        <is>
          <t>CLICK</t>
        </is>
      </c>
      <c r="E31" s="50" t="inlineStr">
        <is>
          <t>Export CRM Summary Report</t>
        </is>
      </c>
      <c r="F31" s="52" t="inlineStr"/>
      <c r="G31" s="52" t="inlineStr">
        <is>
          <t>PDF/Excel export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CRM Leads</t>
        </is>
      </c>
      <c r="C32" s="50" t="inlineStr">
        <is>
          <t>/crm/reports</t>
        </is>
      </c>
      <c r="D32" s="51" t="inlineStr">
        <is>
          <t>ASSERT</t>
        </is>
      </c>
      <c r="E32" s="50" t="inlineStr">
        <is>
          <t>Report downloads</t>
        </is>
      </c>
      <c r="F32" s="52" t="inlineStr">
        <is>
          <t>CRM_Report_Jan2024.pdf</t>
        </is>
      </c>
      <c r="G32" s="57" t="inlineStr"/>
      <c r="H32" s="50" t="inlineStr"/>
      <c r="I32" s="53" t="inlineStr"/>
      <c r="J32" s="50" t="inlineStr"/>
    </row>
  </sheetData>
  <mergeCells count="6">
    <mergeCell ref="A1:J1"/>
    <mergeCell ref="A21:J21"/>
    <mergeCell ref="A15:J15"/>
    <mergeCell ref="A2:J2"/>
    <mergeCell ref="A10:J10"/>
    <mergeCell ref="A25:J2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24: Multi-Currency Invoice — AED Export Sale + Forex Gain/Loss</t>
        </is>
      </c>
    </row>
    <row r="2" ht="16" customHeight="1">
      <c r="A2" s="46" t="inlineStr">
        <is>
          <t>Set AED exchange rate → create UAE customer → raise export invoice in AED with zero GST → receive payment at different rate → forex gain auto-posted</t>
        </is>
      </c>
    </row>
    <row r="3" ht="18" customHeight="1">
      <c r="A3" s="47" t="inlineStr">
        <is>
          <t>Flow</t>
        </is>
      </c>
      <c r="B3" s="48" t="inlineStr">
        <is>
          <t>F24</t>
        </is>
      </c>
      <c r="C3" s="47" t="inlineStr">
        <is>
          <t>Steps</t>
        </is>
      </c>
      <c r="D3" s="48" t="n">
        <v>38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Currency Management</t>
        </is>
      </c>
      <c r="C5" s="50" t="inlineStr">
        <is>
          <t>/currency-management</t>
        </is>
      </c>
      <c r="D5" s="54" t="inlineStr">
        <is>
          <t>NAVIGATE</t>
        </is>
      </c>
      <c r="E5" s="50" t="inlineStr"/>
      <c r="F5" s="52" t="inlineStr"/>
      <c r="G5" s="52" t="inlineStr">
        <is>
          <t>Currency management screen</t>
        </is>
      </c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Currency Management</t>
        </is>
      </c>
      <c r="C6" s="50" t="inlineStr">
        <is>
          <t>/currency-management</t>
        </is>
      </c>
      <c r="D6" s="55" t="inlineStr">
        <is>
          <t>CLICK</t>
        </is>
      </c>
      <c r="E6" s="50" t="inlineStr">
        <is>
          <t>+ Add Currency — AED</t>
        </is>
      </c>
      <c r="F6" s="52" t="inlineStr"/>
      <c r="G6" s="52" t="inlineStr">
        <is>
          <t>Currency form</t>
        </is>
      </c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Currency Management</t>
        </is>
      </c>
      <c r="C7" s="50" t="inlineStr">
        <is>
          <t>/currency-management</t>
        </is>
      </c>
      <c r="D7" s="56" t="inlineStr">
        <is>
          <t>ENTER</t>
        </is>
      </c>
      <c r="E7" s="50" t="inlineStr">
        <is>
          <t>Currency</t>
        </is>
      </c>
      <c r="F7" s="52" t="inlineStr">
        <is>
          <t>AED — UAE Dirham</t>
        </is>
      </c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Currency Management</t>
        </is>
      </c>
      <c r="C8" s="50" t="inlineStr">
        <is>
          <t>/currency-management</t>
        </is>
      </c>
      <c r="D8" s="56" t="inlineStr">
        <is>
          <t>ENTER</t>
        </is>
      </c>
      <c r="E8" s="50" t="inlineStr">
        <is>
          <t>Exchange Rate</t>
        </is>
      </c>
      <c r="F8" s="52" t="inlineStr">
        <is>
          <t>1 AED = ₹22.50</t>
        </is>
      </c>
      <c r="G8" s="52" t="inlineStr">
        <is>
          <t>Today's rate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Currency Management</t>
        </is>
      </c>
      <c r="C9" s="50" t="inlineStr">
        <is>
          <t>/currency-management</t>
        </is>
      </c>
      <c r="D9" s="56" t="inlineStr">
        <is>
          <t>ENTER</t>
        </is>
      </c>
      <c r="E9" s="50" t="inlineStr">
        <is>
          <t>Effective Date</t>
        </is>
      </c>
      <c r="F9" s="52" t="inlineStr">
        <is>
          <t>Today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Currency Management</t>
        </is>
      </c>
      <c r="C10" s="50" t="inlineStr">
        <is>
          <t>/currency-management</t>
        </is>
      </c>
      <c r="D10" s="55" t="inlineStr">
        <is>
          <t>CLICK</t>
        </is>
      </c>
      <c r="E10" s="50" t="inlineStr">
        <is>
          <t>Save</t>
        </is>
      </c>
      <c r="F10" s="52" t="inlineStr"/>
      <c r="G10" s="52" t="inlineStr">
        <is>
          <t>AED rate saved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Currency Management</t>
        </is>
      </c>
      <c r="C11" s="50" t="inlineStr">
        <is>
          <t>/currency-management</t>
        </is>
      </c>
      <c r="D11" s="51" t="inlineStr">
        <is>
          <t>ASSERT</t>
        </is>
      </c>
      <c r="E11" s="50" t="inlineStr">
        <is>
          <t>AED in currency list</t>
        </is>
      </c>
      <c r="F11" s="52" t="inlineStr">
        <is>
          <t>1 AED = ₹22.50 — effective today</t>
        </is>
      </c>
      <c r="G11" s="57" t="inlineStr"/>
      <c r="H11" s="50" t="inlineStr"/>
      <c r="I11" s="53" t="inlineStr"/>
      <c r="J11" s="50" t="inlineStr"/>
    </row>
    <row r="12" ht="16" customHeight="1">
      <c r="A12" s="70" t="inlineStr">
        <is>
          <t xml:space="preserve">  ▸  — INTERNATIONAL CUSTOMER SETUP —</t>
        </is>
      </c>
    </row>
    <row r="13" ht="18" customHeight="1">
      <c r="A13" s="47" t="n">
        <v>9</v>
      </c>
      <c r="B13" s="50" t="inlineStr">
        <is>
          <t>Vendors</t>
        </is>
      </c>
      <c r="C13" s="50" t="inlineStr">
        <is>
          <t>/vendors</t>
        </is>
      </c>
      <c r="D13" s="55" t="inlineStr">
        <is>
          <t>CLICK</t>
        </is>
      </c>
      <c r="E13" s="50" t="inlineStr">
        <is>
          <t>+ Add Customer (International)</t>
        </is>
      </c>
      <c r="F13" s="52" t="inlineStr"/>
      <c r="G13" s="52" t="inlineStr">
        <is>
          <t>Customer form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Vendors</t>
        </is>
      </c>
      <c r="C14" s="50" t="inlineStr">
        <is>
          <t>/vendors</t>
        </is>
      </c>
      <c r="D14" s="56" t="inlineStr">
        <is>
          <t>ENTER</t>
        </is>
      </c>
      <c r="E14" s="50" t="inlineStr">
        <is>
          <t>Customer Name</t>
        </is>
      </c>
      <c r="F14" s="52" t="inlineStr">
        <is>
          <t>Dubai Gold Exports LLC</t>
        </is>
      </c>
      <c r="G14" s="52" t="inlineStr"/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Vendors</t>
        </is>
      </c>
      <c r="C15" s="50" t="inlineStr">
        <is>
          <t>/vendors</t>
        </is>
      </c>
      <c r="D15" s="56" t="inlineStr">
        <is>
          <t>ENTER</t>
        </is>
      </c>
      <c r="E15" s="50" t="inlineStr">
        <is>
          <t>Country</t>
        </is>
      </c>
      <c r="F15" s="52" t="inlineStr">
        <is>
          <t>UAE</t>
        </is>
      </c>
      <c r="G15" s="52" t="inlineStr"/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Vendors</t>
        </is>
      </c>
      <c r="C16" s="50" t="inlineStr">
        <is>
          <t>/vendors</t>
        </is>
      </c>
      <c r="D16" s="56" t="inlineStr">
        <is>
          <t>ENTER</t>
        </is>
      </c>
      <c r="E16" s="50" t="inlineStr">
        <is>
          <t>Currency</t>
        </is>
      </c>
      <c r="F16" s="52" t="inlineStr">
        <is>
          <t>AED</t>
        </is>
      </c>
      <c r="G16" s="52" t="inlineStr">
        <is>
          <t>Billing currency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Vendors</t>
        </is>
      </c>
      <c r="C17" s="50" t="inlineStr">
        <is>
          <t>/vendors</t>
        </is>
      </c>
      <c r="D17" s="56" t="inlineStr">
        <is>
          <t>ENTER</t>
        </is>
      </c>
      <c r="E17" s="50" t="inlineStr">
        <is>
          <t>Address</t>
        </is>
      </c>
      <c r="F17" s="52" t="inlineStr">
        <is>
          <t>Gold Souk, Deira, Dubai — UAE</t>
        </is>
      </c>
      <c r="G17" s="52" t="inlineStr"/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Vendors</t>
        </is>
      </c>
      <c r="C18" s="50" t="inlineStr">
        <is>
          <t>/vendors</t>
        </is>
      </c>
      <c r="D18" s="56" t="inlineStr">
        <is>
          <t>ENTER</t>
        </is>
      </c>
      <c r="E18" s="50" t="inlineStr">
        <is>
          <t>TRN (UAE Tax Reg)</t>
        </is>
      </c>
      <c r="F18" s="52" t="inlineStr">
        <is>
          <t>100234567800003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Vendors</t>
        </is>
      </c>
      <c r="C19" s="50" t="inlineStr">
        <is>
          <t>/vendors</t>
        </is>
      </c>
      <c r="D19" s="55" t="inlineStr">
        <is>
          <t>CLICK</t>
        </is>
      </c>
      <c r="E19" s="50" t="inlineStr">
        <is>
          <t>Save</t>
        </is>
      </c>
      <c r="F19" s="52" t="inlineStr"/>
      <c r="G19" s="52" t="inlineStr">
        <is>
          <t>International customer created</t>
        </is>
      </c>
      <c r="H19" s="50" t="inlineStr"/>
      <c r="I19" s="53" t="inlineStr"/>
      <c r="J19" s="50" t="inlineStr"/>
    </row>
    <row r="20" ht="16" customHeight="1">
      <c r="A20" s="70" t="inlineStr">
        <is>
          <t xml:space="preserve">  ▸  — EXPORT INVOICE IN AED —</t>
        </is>
      </c>
    </row>
    <row r="21" ht="18" customHeight="1">
      <c r="A21" s="47" t="n">
        <v>17</v>
      </c>
      <c r="B21" s="50" t="inlineStr">
        <is>
          <t>Invoices</t>
        </is>
      </c>
      <c r="C21" s="50" t="inlineStr">
        <is>
          <t>/invoices</t>
        </is>
      </c>
      <c r="D21" s="55" t="inlineStr">
        <is>
          <t>CLICK</t>
        </is>
      </c>
      <c r="E21" s="50" t="inlineStr">
        <is>
          <t>+ New Invoice</t>
        </is>
      </c>
      <c r="F21" s="52" t="inlineStr"/>
      <c r="G21" s="52" t="inlineStr">
        <is>
          <t>Invoice form</t>
        </is>
      </c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Invoices</t>
        </is>
      </c>
      <c r="C22" s="50" t="inlineStr">
        <is>
          <t>/invoices</t>
        </is>
      </c>
      <c r="D22" s="56" t="inlineStr">
        <is>
          <t>ENTER</t>
        </is>
      </c>
      <c r="E22" s="50" t="inlineStr">
        <is>
          <t>Customer</t>
        </is>
      </c>
      <c r="F22" s="52" t="inlineStr">
        <is>
          <t>Dubai Gold Exports LLC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Invoices</t>
        </is>
      </c>
      <c r="C23" s="50" t="inlineStr">
        <is>
          <t>/invoices</t>
        </is>
      </c>
      <c r="D23" s="51" t="inlineStr">
        <is>
          <t>ASSERT</t>
        </is>
      </c>
      <c r="E23" s="50" t="inlineStr">
        <is>
          <t>Currency auto-set</t>
        </is>
      </c>
      <c r="F23" s="52" t="inlineStr">
        <is>
          <t>AED</t>
        </is>
      </c>
      <c r="G23" s="57" t="inlineStr">
        <is>
          <t>From customer profile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Invoices</t>
        </is>
      </c>
      <c r="C24" s="50" t="inlineStr">
        <is>
          <t>/invoices</t>
        </is>
      </c>
      <c r="D24" s="56" t="inlineStr">
        <is>
          <t>ENTER</t>
        </is>
      </c>
      <c r="E24" s="50" t="inlineStr">
        <is>
          <t>Item</t>
        </is>
      </c>
      <c r="F24" s="52" t="inlineStr">
        <is>
          <t>DT-0050 — 22K Necklace 15.2gm</t>
        </is>
      </c>
      <c r="G24" s="52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Invoices</t>
        </is>
      </c>
      <c r="C25" s="50" t="inlineStr">
        <is>
          <t>/invoices</t>
        </is>
      </c>
      <c r="D25" s="51" t="inlineStr">
        <is>
          <t>ASSERT</t>
        </is>
      </c>
      <c r="E25" s="50" t="inlineStr">
        <is>
          <t>Gold value INR (auto)</t>
        </is>
      </c>
      <c r="F25" s="52" t="inlineStr">
        <is>
          <t>₹84,748</t>
        </is>
      </c>
      <c r="G25" s="57" t="inlineStr">
        <is>
          <t>15.2 × ₹6,820 × 0.916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Invoices</t>
        </is>
      </c>
      <c r="C26" s="50" t="inlineStr">
        <is>
          <t>/invoices</t>
        </is>
      </c>
      <c r="D26" s="51" t="inlineStr">
        <is>
          <t>ASSERT</t>
        </is>
      </c>
      <c r="E26" s="50" t="inlineStr">
        <is>
          <t>Gold value AED (auto)</t>
        </is>
      </c>
      <c r="F26" s="52" t="inlineStr">
        <is>
          <t>AED 3,766.58</t>
        </is>
      </c>
      <c r="G26" s="57" t="inlineStr">
        <is>
          <t>₹84,748 ÷ ₹22.50</t>
        </is>
      </c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Invoices</t>
        </is>
      </c>
      <c r="C27" s="50" t="inlineStr">
        <is>
          <t>/invoices</t>
        </is>
      </c>
      <c r="D27" s="51" t="inlineStr">
        <is>
          <t>ASSERT</t>
        </is>
      </c>
      <c r="E27" s="50" t="inlineStr">
        <is>
          <t>Making charges INR</t>
        </is>
      </c>
      <c r="F27" s="52" t="inlineStr">
        <is>
          <t>₹6,080</t>
        </is>
      </c>
      <c r="G27" s="57" t="inlineStr">
        <is>
          <t>15.2 × ₹400</t>
        </is>
      </c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Invoices</t>
        </is>
      </c>
      <c r="C28" s="50" t="inlineStr">
        <is>
          <t>/invoices</t>
        </is>
      </c>
      <c r="D28" s="51" t="inlineStr">
        <is>
          <t>ASSERT</t>
        </is>
      </c>
      <c r="E28" s="50" t="inlineStr">
        <is>
          <t>Making charges AED</t>
        </is>
      </c>
      <c r="F28" s="52" t="inlineStr">
        <is>
          <t>AED 270.22</t>
        </is>
      </c>
      <c r="G28" s="57" t="inlineStr">
        <is>
          <t>₹6,080 ÷ ₹22.50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Invoices</t>
        </is>
      </c>
      <c r="C29" s="50" t="inlineStr">
        <is>
          <t>/invoices</t>
        </is>
      </c>
      <c r="D29" s="51" t="inlineStr">
        <is>
          <t>ASSERT</t>
        </is>
      </c>
      <c r="E29" s="50" t="inlineStr">
        <is>
          <t>GST</t>
        </is>
      </c>
      <c r="F29" s="52" t="inlineStr">
        <is>
          <t>₹0 (zero-rated export)</t>
        </is>
      </c>
      <c r="G29" s="57" t="inlineStr">
        <is>
          <t>Export = 0% GST</t>
        </is>
      </c>
      <c r="H29" s="50" t="inlineStr"/>
      <c r="I29" s="53" t="inlineStr"/>
      <c r="J29" s="50" t="inlineStr">
        <is>
          <t>CRITICAL: must be zero-rated</t>
        </is>
      </c>
    </row>
    <row r="30" ht="18" customHeight="1">
      <c r="A30" s="47" t="n">
        <v>26</v>
      </c>
      <c r="B30" s="50" t="inlineStr">
        <is>
          <t>Invoices</t>
        </is>
      </c>
      <c r="C30" s="50" t="inlineStr">
        <is>
          <t>/invoices</t>
        </is>
      </c>
      <c r="D30" s="51" t="inlineStr">
        <is>
          <t>ASSERT</t>
        </is>
      </c>
      <c r="E30" s="50" t="inlineStr">
        <is>
          <t>Total INR</t>
        </is>
      </c>
      <c r="F30" s="52" t="inlineStr">
        <is>
          <t>₹90,828</t>
        </is>
      </c>
      <c r="G30" s="57" t="inlineStr">
        <is>
          <t>Gold + making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Invoices</t>
        </is>
      </c>
      <c r="C31" s="50" t="inlineStr">
        <is>
          <t>/invoices</t>
        </is>
      </c>
      <c r="D31" s="51" t="inlineStr">
        <is>
          <t>ASSERT</t>
        </is>
      </c>
      <c r="E31" s="50" t="inlineStr">
        <is>
          <t>Total AED</t>
        </is>
      </c>
      <c r="F31" s="52" t="inlineStr">
        <is>
          <t>AED 4,036.80</t>
        </is>
      </c>
      <c r="G31" s="57" t="inlineStr">
        <is>
          <t>₹90,828 ÷ ₹22.50</t>
        </is>
      </c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Invoices</t>
        </is>
      </c>
      <c r="C32" s="50" t="inlineStr">
        <is>
          <t>/invoices</t>
        </is>
      </c>
      <c r="D32" s="56" t="inlineStr">
        <is>
          <t>ENTER</t>
        </is>
      </c>
      <c r="E32" s="50" t="inlineStr">
        <is>
          <t>Export reference</t>
        </is>
      </c>
      <c r="F32" s="52" t="inlineStr">
        <is>
          <t>Shipping Bill No: SB-2024-44521</t>
        </is>
      </c>
      <c r="G32" s="52" t="inlineStr"/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Invoices</t>
        </is>
      </c>
      <c r="C33" s="50" t="inlineStr">
        <is>
          <t>/invoices</t>
        </is>
      </c>
      <c r="D33" s="55" t="inlineStr">
        <is>
          <t>CLICK</t>
        </is>
      </c>
      <c r="E33" s="50" t="inlineStr">
        <is>
          <t>Save Invoice</t>
        </is>
      </c>
      <c r="F33" s="52" t="inlineStr"/>
      <c r="G33" s="52" t="inlineStr">
        <is>
          <t>EXPORT-INV-001 created in AED with INR equivalent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Invoices</t>
        </is>
      </c>
      <c r="C34" s="50" t="inlineStr">
        <is>
          <t>/invoices</t>
        </is>
      </c>
      <c r="D34" s="51" t="inlineStr">
        <is>
          <t>ASSERT</t>
        </is>
      </c>
      <c r="E34" s="50" t="inlineStr">
        <is>
          <t>Invoice shows both currencies</t>
        </is>
      </c>
      <c r="F34" s="52" t="inlineStr">
        <is>
          <t>AED 4,036.80 (₹90,828 equiv)</t>
        </is>
      </c>
      <c r="G34" s="57" t="inlineStr">
        <is>
          <t>Dual currency display</t>
        </is>
      </c>
      <c r="H34" s="50" t="inlineStr"/>
      <c r="I34" s="53" t="inlineStr"/>
      <c r="J34" s="50" t="inlineStr"/>
    </row>
    <row r="35" ht="16" customHeight="1">
      <c r="A35" s="70" t="inlineStr">
        <is>
          <t xml:space="preserve">  ▸  — PAYMENT IN AED + FOREX GAIN/LOSS —</t>
        </is>
      </c>
    </row>
    <row r="36" ht="18" customHeight="1">
      <c r="A36" s="47" t="n">
        <v>32</v>
      </c>
      <c r="B36" s="50" t="inlineStr">
        <is>
          <t>Invoices</t>
        </is>
      </c>
      <c r="C36" s="50" t="inlineStr">
        <is>
          <t>/invoices</t>
        </is>
      </c>
      <c r="D36" s="55" t="inlineStr">
        <is>
          <t>CLICK</t>
        </is>
      </c>
      <c r="E36" s="50" t="inlineStr">
        <is>
          <t>Record Payment — EXPORT-INV-001</t>
        </is>
      </c>
      <c r="F36" s="52" t="inlineStr"/>
      <c r="G36" s="52" t="inlineStr">
        <is>
          <t>Payment form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Invoices</t>
        </is>
      </c>
      <c r="C37" s="50" t="inlineStr">
        <is>
          <t>/invoices</t>
        </is>
      </c>
      <c r="D37" s="56" t="inlineStr">
        <is>
          <t>ENTER</t>
        </is>
      </c>
      <c r="E37" s="50" t="inlineStr">
        <is>
          <t>Amount paid</t>
        </is>
      </c>
      <c r="F37" s="52" t="inlineStr">
        <is>
          <t>AED 4,036.80</t>
        </is>
      </c>
      <c r="G37" s="52" t="inlineStr"/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Invoices</t>
        </is>
      </c>
      <c r="C38" s="50" t="inlineStr">
        <is>
          <t>/invoices</t>
        </is>
      </c>
      <c r="D38" s="56" t="inlineStr">
        <is>
          <t>ENTER</t>
        </is>
      </c>
      <c r="E38" s="50" t="inlineStr">
        <is>
          <t>Exchange rate at payment</t>
        </is>
      </c>
      <c r="F38" s="52" t="inlineStr">
        <is>
          <t>1 AED = ₹22.80</t>
        </is>
      </c>
      <c r="G38" s="52" t="inlineStr">
        <is>
          <t>Rate changed since invoice</t>
        </is>
      </c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Invoices</t>
        </is>
      </c>
      <c r="C39" s="50" t="inlineStr">
        <is>
          <t>/invoices</t>
        </is>
      </c>
      <c r="D39" s="51" t="inlineStr">
        <is>
          <t>ASSERT</t>
        </is>
      </c>
      <c r="E39" s="50" t="inlineStr">
        <is>
          <t>INR received (auto)</t>
        </is>
      </c>
      <c r="F39" s="52" t="inlineStr">
        <is>
          <t>₹92,040</t>
        </is>
      </c>
      <c r="G39" s="57" t="inlineStr">
        <is>
          <t>AED 4,036.80 × ₹22.80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Invoices</t>
        </is>
      </c>
      <c r="C40" s="50" t="inlineStr">
        <is>
          <t>/invoices</t>
        </is>
      </c>
      <c r="D40" s="51" t="inlineStr">
        <is>
          <t>ASSERT</t>
        </is>
      </c>
      <c r="E40" s="50" t="inlineStr">
        <is>
          <t>Forex gain (auto)</t>
        </is>
      </c>
      <c r="F40" s="52" t="inlineStr">
        <is>
          <t>₹1,212</t>
        </is>
      </c>
      <c r="G40" s="57" t="inlineStr">
        <is>
          <t>₹92,040 − ₹90,828 — rate moved in our favour</t>
        </is>
      </c>
      <c r="H40" s="50" t="inlineStr"/>
      <c r="I40" s="53" t="inlineStr"/>
      <c r="J40" s="50" t="inlineStr">
        <is>
          <t>CRITICAL: forex gain/loss posting</t>
        </is>
      </c>
    </row>
    <row r="41" ht="32" customHeight="1">
      <c r="A41" s="47" t="n">
        <v>37</v>
      </c>
      <c r="B41" s="50" t="inlineStr">
        <is>
          <t>Invoices</t>
        </is>
      </c>
      <c r="C41" s="50" t="inlineStr">
        <is>
          <t>/invoices</t>
        </is>
      </c>
      <c r="D41" s="51" t="inlineStr">
        <is>
          <t>ASSERT</t>
        </is>
      </c>
      <c r="E41" s="50" t="inlineStr">
        <is>
          <t>Forex gain journal entry</t>
        </is>
      </c>
      <c r="F41" s="52" t="inlineStr">
        <is>
          <t>Dr Bank ₹92,040 | Cr Sales ₹90,828 | Cr Forex Gain ₹1,212</t>
        </is>
      </c>
      <c r="G41" s="57" t="inlineStr">
        <is>
          <t>Correct accounting</t>
        </is>
      </c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Invoices</t>
        </is>
      </c>
      <c r="C42" s="50" t="inlineStr">
        <is>
          <t>/invoices</t>
        </is>
      </c>
      <c r="D42" s="51" t="inlineStr">
        <is>
          <t>ASSERT</t>
        </is>
      </c>
      <c r="E42" s="50" t="inlineStr">
        <is>
          <t>Invoice status</t>
        </is>
      </c>
      <c r="F42" s="52" t="inlineStr">
        <is>
          <t>Paid — Fully settled</t>
        </is>
      </c>
      <c r="G42" s="57" t="inlineStr"/>
      <c r="H42" s="50" t="inlineStr"/>
      <c r="I42" s="53" t="inlineStr"/>
      <c r="J42" s="50" t="inlineStr"/>
    </row>
  </sheetData>
  <mergeCells count="5">
    <mergeCell ref="A1:J1"/>
    <mergeCell ref="A35:J35"/>
    <mergeCell ref="A12:J12"/>
    <mergeCell ref="A20:J20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25: Admin &amp; Settings — Company, Roles, Permissions, Notifications, Import, API Keys</t>
        </is>
      </c>
    </row>
    <row r="2" ht="16" customHeight="1">
      <c r="A2" s="46" t="inlineStr">
        <is>
          <t>Company settings → role creation with granular permissions → user invite → approval workflow → notification config → data import → API key generation</t>
        </is>
      </c>
    </row>
    <row r="3" ht="18" customHeight="1">
      <c r="A3" s="47" t="inlineStr">
        <is>
          <t>Flow</t>
        </is>
      </c>
      <c r="B3" s="48" t="inlineStr">
        <is>
          <t>F25</t>
        </is>
      </c>
      <c r="C3" s="47" t="inlineStr">
        <is>
          <t>Steps</t>
        </is>
      </c>
      <c r="D3" s="48" t="n">
        <v>47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>
        <is>
          <t>Company Settings</t>
        </is>
      </c>
      <c r="C5" s="50" t="inlineStr">
        <is>
          <t>/company-settings</t>
        </is>
      </c>
      <c r="D5" s="54" t="inlineStr">
        <is>
          <t>NAVIGATE</t>
        </is>
      </c>
      <c r="E5" s="50" t="inlineStr"/>
      <c r="F5" s="52" t="inlineStr"/>
      <c r="G5" s="52" t="inlineStr">
        <is>
          <t>Company settings screen</t>
        </is>
      </c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Company Settings</t>
        </is>
      </c>
      <c r="C6" s="50" t="inlineStr">
        <is>
          <t>/company-settings</t>
        </is>
      </c>
      <c r="D6" s="56" t="inlineStr">
        <is>
          <t>ENTER</t>
        </is>
      </c>
      <c r="E6" s="50" t="inlineStr">
        <is>
          <t>Company Name</t>
        </is>
      </c>
      <c r="F6" s="52" t="inlineStr">
        <is>
          <t>SwachERP Gold Jewellers Pvt Ltd</t>
        </is>
      </c>
      <c r="G6" s="52" t="inlineStr"/>
      <c r="H6" s="50" t="inlineStr"/>
      <c r="I6" s="53" t="inlineStr"/>
      <c r="J6" s="50" t="inlineStr"/>
    </row>
    <row r="7" ht="18" customHeight="1">
      <c r="A7" s="47" t="n">
        <v>3</v>
      </c>
      <c r="B7" s="50" t="inlineStr">
        <is>
          <t>Company Settings</t>
        </is>
      </c>
      <c r="C7" s="50" t="inlineStr">
        <is>
          <t>/company-settings</t>
        </is>
      </c>
      <c r="D7" s="56" t="inlineStr">
        <is>
          <t>ENTER</t>
        </is>
      </c>
      <c r="E7" s="50" t="inlineStr">
        <is>
          <t>GSTIN</t>
        </is>
      </c>
      <c r="F7" s="52" t="inlineStr">
        <is>
          <t>36AAACS1234A1Z5</t>
        </is>
      </c>
      <c r="G7" s="52" t="inlineStr"/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Company Settings</t>
        </is>
      </c>
      <c r="C8" s="50" t="inlineStr">
        <is>
          <t>/company-settings</t>
        </is>
      </c>
      <c r="D8" s="56" t="inlineStr">
        <is>
          <t>ENTER</t>
        </is>
      </c>
      <c r="E8" s="50" t="inlineStr">
        <is>
          <t>Financial Year</t>
        </is>
      </c>
      <c r="F8" s="52" t="inlineStr">
        <is>
          <t>April to March</t>
        </is>
      </c>
      <c r="G8" s="52" t="inlineStr">
        <is>
          <t>India standard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Company Settings</t>
        </is>
      </c>
      <c r="C9" s="50" t="inlineStr">
        <is>
          <t>/company-settings</t>
        </is>
      </c>
      <c r="D9" s="56" t="inlineStr">
        <is>
          <t>ENTER</t>
        </is>
      </c>
      <c r="E9" s="50" t="inlineStr">
        <is>
          <t>Default Currency</t>
        </is>
      </c>
      <c r="F9" s="52" t="inlineStr">
        <is>
          <t>INR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Company Settings</t>
        </is>
      </c>
      <c r="C10" s="50" t="inlineStr">
        <is>
          <t>/company-settings</t>
        </is>
      </c>
      <c r="D10" s="55" t="inlineStr">
        <is>
          <t>CLICK</t>
        </is>
      </c>
      <c r="E10" s="50" t="inlineStr">
        <is>
          <t>Upload Logo</t>
        </is>
      </c>
      <c r="F10" s="52" t="inlineStr">
        <is>
          <t>company_logo.png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Company Settings</t>
        </is>
      </c>
      <c r="C11" s="50" t="inlineStr">
        <is>
          <t>/company-settings</t>
        </is>
      </c>
      <c r="D11" s="55" t="inlineStr">
        <is>
          <t>CLICK</t>
        </is>
      </c>
      <c r="E11" s="50" t="inlineStr">
        <is>
          <t>Save</t>
        </is>
      </c>
      <c r="F11" s="52" t="inlineStr"/>
      <c r="G11" s="52" t="inlineStr">
        <is>
          <t>Settings saved. Logo visible in invoices.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Company Settings</t>
        </is>
      </c>
      <c r="C12" s="50" t="inlineStr">
        <is>
          <t>/company-settings</t>
        </is>
      </c>
      <c r="D12" s="51" t="inlineStr">
        <is>
          <t>ASSERT</t>
        </is>
      </c>
      <c r="E12" s="50" t="inlineStr">
        <is>
          <t>Logo on invoice</t>
        </is>
      </c>
      <c r="F12" s="52" t="inlineStr">
        <is>
          <t>Logo appears on test invoice PDF</t>
        </is>
      </c>
      <c r="G12" s="57" t="inlineStr">
        <is>
          <t>End-to-end check</t>
        </is>
      </c>
      <c r="H12" s="50" t="inlineStr"/>
      <c r="I12" s="53" t="inlineStr"/>
      <c r="J12" s="50" t="inlineStr"/>
    </row>
    <row r="13" ht="16" customHeight="1">
      <c r="A13" s="70" t="inlineStr">
        <is>
          <t xml:space="preserve">  ▸  — ROLE + USER SETUP —</t>
        </is>
      </c>
    </row>
    <row r="14" ht="18" customHeight="1">
      <c r="A14" s="47" t="n">
        <v>10</v>
      </c>
      <c r="B14" s="50" t="inlineStr">
        <is>
          <t>Users</t>
        </is>
      </c>
      <c r="C14" s="50" t="inlineStr">
        <is>
          <t>/users</t>
        </is>
      </c>
      <c r="D14" s="55" t="inlineStr">
        <is>
          <t>CLICK</t>
        </is>
      </c>
      <c r="E14" s="50" t="inlineStr">
        <is>
          <t>Role Permissions — + New Role</t>
        </is>
      </c>
      <c r="F14" s="52" t="inlineStr"/>
      <c r="G14" s="52" t="inlineStr">
        <is>
          <t>Role creation form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Users</t>
        </is>
      </c>
      <c r="C15" s="50" t="inlineStr">
        <is>
          <t>/users</t>
        </is>
      </c>
      <c r="D15" s="56" t="inlineStr">
        <is>
          <t>ENTER</t>
        </is>
      </c>
      <c r="E15" s="50" t="inlineStr">
        <is>
          <t>Role Name</t>
        </is>
      </c>
      <c r="F15" s="52" t="inlineStr">
        <is>
          <t>Karigar Operator</t>
        </is>
      </c>
      <c r="G15" s="52" t="inlineStr"/>
      <c r="H15" s="50" t="inlineStr"/>
      <c r="I15" s="53" t="inlineStr"/>
      <c r="J15" s="50" t="inlineStr"/>
    </row>
    <row r="16" ht="46" customHeight="1">
      <c r="A16" s="47" t="n">
        <v>12</v>
      </c>
      <c r="B16" s="50" t="inlineStr">
        <is>
          <t>Users</t>
        </is>
      </c>
      <c r="C16" s="50" t="inlineStr">
        <is>
          <t>/users</t>
        </is>
      </c>
      <c r="D16" s="56" t="inlineStr">
        <is>
          <t>ENTER</t>
        </is>
      </c>
      <c r="E16" s="50" t="inlineStr">
        <is>
          <t>Permissions</t>
        </is>
      </c>
      <c r="F16" s="52" t="inlineStr">
        <is>
          <t>Production entries: Read+Write | Settlement: Read only | Sales: No access | Finance: No access</t>
        </is>
      </c>
      <c r="G16" s="52" t="inlineStr">
        <is>
          <t>Granular permissions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Users</t>
        </is>
      </c>
      <c r="C17" s="50" t="inlineStr">
        <is>
          <t>/users</t>
        </is>
      </c>
      <c r="D17" s="55" t="inlineStr">
        <is>
          <t>CLICK</t>
        </is>
      </c>
      <c r="E17" s="50" t="inlineStr">
        <is>
          <t>Save Role</t>
        </is>
      </c>
      <c r="F17" s="52" t="inlineStr"/>
      <c r="G17" s="52" t="inlineStr">
        <is>
          <t>Role created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Users</t>
        </is>
      </c>
      <c r="C18" s="50" t="inlineStr">
        <is>
          <t>/users</t>
        </is>
      </c>
      <c r="D18" s="55" t="inlineStr">
        <is>
          <t>CLICK</t>
        </is>
      </c>
      <c r="E18" s="50" t="inlineStr">
        <is>
          <t>+ Add User</t>
        </is>
      </c>
      <c r="F18" s="52" t="inlineStr"/>
      <c r="G18" s="52" t="inlineStr">
        <is>
          <t>User form</t>
        </is>
      </c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Users</t>
        </is>
      </c>
      <c r="C19" s="50" t="inlineStr">
        <is>
          <t>/users</t>
        </is>
      </c>
      <c r="D19" s="56" t="inlineStr">
        <is>
          <t>ENTER</t>
        </is>
      </c>
      <c r="E19" s="50" t="inlineStr">
        <is>
          <t>Name</t>
        </is>
      </c>
      <c r="F19" s="52" t="inlineStr">
        <is>
          <t>Prakash Kumar (new karigar)</t>
        </is>
      </c>
      <c r="G19" s="52" t="inlineStr">
        <is>
          <t>From F18 recruitment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Users</t>
        </is>
      </c>
      <c r="C20" s="50" t="inlineStr">
        <is>
          <t>/users</t>
        </is>
      </c>
      <c r="D20" s="56" t="inlineStr">
        <is>
          <t>ENTER</t>
        </is>
      </c>
      <c r="E20" s="50" t="inlineStr">
        <is>
          <t>Email</t>
        </is>
      </c>
      <c r="F20" s="52" t="inlineStr">
        <is>
          <t>prakash@swacherp.com</t>
        </is>
      </c>
      <c r="G20" s="52" t="inlineStr"/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Users</t>
        </is>
      </c>
      <c r="C21" s="50" t="inlineStr">
        <is>
          <t>/users</t>
        </is>
      </c>
      <c r="D21" s="56" t="inlineStr">
        <is>
          <t>ENTER</t>
        </is>
      </c>
      <c r="E21" s="50" t="inlineStr">
        <is>
          <t>Role</t>
        </is>
      </c>
      <c r="F21" s="52" t="inlineStr">
        <is>
          <t>Karigar Operator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Users</t>
        </is>
      </c>
      <c r="C22" s="50" t="inlineStr">
        <is>
          <t>/users</t>
        </is>
      </c>
      <c r="D22" s="55" t="inlineStr">
        <is>
          <t>CLICK</t>
        </is>
      </c>
      <c r="E22" s="50" t="inlineStr">
        <is>
          <t>Save + Send Invite</t>
        </is>
      </c>
      <c r="F22" s="52" t="inlineStr"/>
      <c r="G22" s="52" t="inlineStr">
        <is>
          <t>Invite email sent. User created.</t>
        </is>
      </c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Users</t>
        </is>
      </c>
      <c r="C23" s="50" t="inlineStr">
        <is>
          <t>/users</t>
        </is>
      </c>
      <c r="D23" s="59" t="inlineStr">
        <is>
          <t>NEGATIVE</t>
        </is>
      </c>
      <c r="E23" s="50" t="inlineStr">
        <is>
          <t>Try to access Finance as Prakash</t>
        </is>
      </c>
      <c r="F23" s="52" t="inlineStr">
        <is>
          <t>Login as Prakash → navigate to Finance</t>
        </is>
      </c>
      <c r="G23" s="52" t="inlineStr">
        <is>
          <t>Should be blocked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Users</t>
        </is>
      </c>
      <c r="C24" s="50" t="inlineStr">
        <is>
          <t>/users</t>
        </is>
      </c>
      <c r="D24" s="51" t="inlineStr">
        <is>
          <t>ASSERT</t>
        </is>
      </c>
      <c r="E24" s="50" t="inlineStr">
        <is>
          <t>Access denied</t>
        </is>
      </c>
      <c r="F24" s="52" t="inlineStr">
        <is>
          <t>403 — You do not have permission</t>
        </is>
      </c>
      <c r="G24" s="57" t="inlineStr">
        <is>
          <t>Role restriction working</t>
        </is>
      </c>
      <c r="H24" s="50" t="inlineStr"/>
      <c r="I24" s="53" t="inlineStr"/>
      <c r="J24" s="50" t="inlineStr">
        <is>
          <t>CRITICAL</t>
        </is>
      </c>
    </row>
    <row r="25" ht="16" customHeight="1">
      <c r="A25" s="70" t="inlineStr">
        <is>
          <t xml:space="preserve">  ▸  — APPROVAL WORKFLOWS —</t>
        </is>
      </c>
    </row>
    <row r="26" ht="18" customHeight="1">
      <c r="A26" s="47" t="n">
        <v>22</v>
      </c>
      <c r="B26" s="50" t="inlineStr">
        <is>
          <t>Company Settings</t>
        </is>
      </c>
      <c r="C26" s="50" t="inlineStr">
        <is>
          <t>/approval-workflows</t>
        </is>
      </c>
      <c r="D26" s="55" t="inlineStr">
        <is>
          <t>CLICK</t>
        </is>
      </c>
      <c r="E26" s="50" t="inlineStr">
        <is>
          <t>+ New Approval Workflow</t>
        </is>
      </c>
      <c r="F26" s="52" t="inlineStr"/>
      <c r="G26" s="52" t="inlineStr"/>
      <c r="H26" s="50" t="inlineStr"/>
      <c r="I26" s="53" t="inlineStr"/>
      <c r="J26" s="50" t="inlineStr"/>
    </row>
    <row r="27" ht="18" customHeight="1">
      <c r="A27" s="47" t="n">
        <v>23</v>
      </c>
      <c r="B27" s="50" t="inlineStr">
        <is>
          <t>Company Settings</t>
        </is>
      </c>
      <c r="C27" s="50" t="inlineStr">
        <is>
          <t>/approval-workflows</t>
        </is>
      </c>
      <c r="D27" s="56" t="inlineStr">
        <is>
          <t>ENTER</t>
        </is>
      </c>
      <c r="E27" s="50" t="inlineStr">
        <is>
          <t>Trigger</t>
        </is>
      </c>
      <c r="F27" s="52" t="inlineStr">
        <is>
          <t>Invoice value &gt; ₹1,00,000</t>
        </is>
      </c>
      <c r="G27" s="52" t="inlineStr"/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Company Settings</t>
        </is>
      </c>
      <c r="C28" s="50" t="inlineStr">
        <is>
          <t>/approval-workflows</t>
        </is>
      </c>
      <c r="D28" s="56" t="inlineStr">
        <is>
          <t>ENTER</t>
        </is>
      </c>
      <c r="E28" s="50" t="inlineStr">
        <is>
          <t>Approver</t>
        </is>
      </c>
      <c r="F28" s="52" t="inlineStr">
        <is>
          <t>Store Manager</t>
        </is>
      </c>
      <c r="G28" s="52" t="inlineStr"/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Company Settings</t>
        </is>
      </c>
      <c r="C29" s="50" t="inlineStr">
        <is>
          <t>/approval-workflows</t>
        </is>
      </c>
      <c r="D29" s="55" t="inlineStr">
        <is>
          <t>CLICK</t>
        </is>
      </c>
      <c r="E29" s="50" t="inlineStr">
        <is>
          <t>Save</t>
        </is>
      </c>
      <c r="F29" s="52" t="inlineStr"/>
      <c r="G29" s="52" t="inlineStr">
        <is>
          <t>Workflow active</t>
        </is>
      </c>
      <c r="H29" s="50" t="inlineStr"/>
      <c r="I29" s="53" t="inlineStr"/>
      <c r="J29" s="50" t="inlineStr"/>
    </row>
    <row r="30" ht="32" customHeight="1">
      <c r="A30" s="47" t="n">
        <v>26</v>
      </c>
      <c r="B30" s="50" t="inlineStr">
        <is>
          <t>Invoices</t>
        </is>
      </c>
      <c r="C30" s="50" t="inlineStr">
        <is>
          <t>/invoices</t>
        </is>
      </c>
      <c r="D30" s="51" t="inlineStr">
        <is>
          <t>ASSERT</t>
        </is>
      </c>
      <c r="E30" s="50" t="inlineStr">
        <is>
          <t>High value invoice requires approval</t>
        </is>
      </c>
      <c r="F30" s="52" t="inlineStr">
        <is>
          <t>Invoice for ₹1,11,553 shows 'Pending Approval'</t>
        </is>
      </c>
      <c r="G30" s="57" t="inlineStr">
        <is>
          <t>Create test invoice &gt; ₹1L</t>
        </is>
      </c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Invoices</t>
        </is>
      </c>
      <c r="C31" s="50" t="inlineStr">
        <is>
          <t>/invoices</t>
        </is>
      </c>
      <c r="D31" s="55" t="inlineStr">
        <is>
          <t>CLICK</t>
        </is>
      </c>
      <c r="E31" s="50" t="inlineStr">
        <is>
          <t>Approve Invoice</t>
        </is>
      </c>
      <c r="F31" s="52" t="inlineStr"/>
      <c r="G31" s="52" t="inlineStr">
        <is>
          <t>Invoice approved by manager</t>
        </is>
      </c>
      <c r="H31" s="50" t="inlineStr"/>
      <c r="I31" s="53" t="inlineStr"/>
      <c r="J31" s="50" t="inlineStr"/>
    </row>
    <row r="32" ht="16" customHeight="1">
      <c r="A32" s="70" t="inlineStr">
        <is>
          <t xml:space="preserve">  ▸  — NOTIFICATION SETTINGS —</t>
        </is>
      </c>
    </row>
    <row r="33" ht="18" customHeight="1">
      <c r="A33" s="47" t="n">
        <v>29</v>
      </c>
      <c r="B33" s="50" t="inlineStr">
        <is>
          <t>Company Settings</t>
        </is>
      </c>
      <c r="C33" s="50" t="inlineStr">
        <is>
          <t>/notification-settings</t>
        </is>
      </c>
      <c r="D33" s="54" t="inlineStr">
        <is>
          <t>NAVIGATE</t>
        </is>
      </c>
      <c r="E33" s="50" t="inlineStr"/>
      <c r="F33" s="52" t="inlineStr"/>
      <c r="G33" s="52" t="inlineStr">
        <is>
          <t>Notification settings</t>
        </is>
      </c>
      <c r="H33" s="50" t="inlineStr"/>
      <c r="I33" s="53" t="inlineStr"/>
      <c r="J33" s="50" t="inlineStr"/>
    </row>
    <row r="34" ht="32" customHeight="1">
      <c r="A34" s="47" t="n">
        <v>30</v>
      </c>
      <c r="B34" s="50" t="inlineStr">
        <is>
          <t>Company Settings</t>
        </is>
      </c>
      <c r="C34" s="50" t="inlineStr">
        <is>
          <t>/notification-settings</t>
        </is>
      </c>
      <c r="D34" s="51" t="inlineStr">
        <is>
          <t>ASSERT</t>
        </is>
      </c>
      <c r="E34" s="50" t="inlineStr">
        <is>
          <t>All triggers listed</t>
        </is>
      </c>
      <c r="F34" s="52" t="inlineStr">
        <is>
          <t>Order placed, Invoice paid, Chit payment, Low stock, Karigar overdraft...</t>
        </is>
      </c>
      <c r="G34" s="57" t="inlineStr">
        <is>
          <t>All notification triggers visible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Company Settings</t>
        </is>
      </c>
      <c r="C35" s="50" t="inlineStr">
        <is>
          <t>/notification-settings</t>
        </is>
      </c>
      <c r="D35" s="56" t="inlineStr">
        <is>
          <t>ENTER</t>
        </is>
      </c>
      <c r="E35" s="50" t="inlineStr">
        <is>
          <t>Low gold stock alert threshold</t>
        </is>
      </c>
      <c r="F35" s="52" t="inlineStr">
        <is>
          <t>50 gm</t>
        </is>
      </c>
      <c r="G35" s="52" t="inlineStr">
        <is>
          <t>Alert if stock falls below</t>
        </is>
      </c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Company Settings</t>
        </is>
      </c>
      <c r="C36" s="50" t="inlineStr">
        <is>
          <t>/notification-settings</t>
        </is>
      </c>
      <c r="D36" s="55" t="inlineStr">
        <is>
          <t>CLICK</t>
        </is>
      </c>
      <c r="E36" s="50" t="inlineStr">
        <is>
          <t>Save</t>
        </is>
      </c>
      <c r="F36" s="52" t="inlineStr"/>
      <c r="G36" s="52" t="inlineStr">
        <is>
          <t>Settings saved</t>
        </is>
      </c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Company Settings</t>
        </is>
      </c>
      <c r="C37" s="50" t="inlineStr">
        <is>
          <t>/notification-settings</t>
        </is>
      </c>
      <c r="D37" s="51" t="inlineStr">
        <is>
          <t>ASSERT</t>
        </is>
      </c>
      <c r="E37" s="50" t="inlineStr">
        <is>
          <t>Test notification button</t>
        </is>
      </c>
      <c r="F37" s="52" t="inlineStr">
        <is>
          <t>Test WhatsApp sent to admin</t>
        </is>
      </c>
      <c r="G37" s="57" t="inlineStr">
        <is>
          <t>Verify delivery</t>
        </is>
      </c>
      <c r="H37" s="50" t="inlineStr"/>
      <c r="I37" s="53" t="inlineStr"/>
      <c r="J37" s="50" t="inlineStr"/>
    </row>
    <row r="38" ht="16" customHeight="1">
      <c r="A38" s="70" t="inlineStr">
        <is>
          <t xml:space="preserve">  ▸  — DATA IMPORT —</t>
        </is>
      </c>
    </row>
    <row r="39" ht="18" customHeight="1">
      <c r="A39" s="47" t="n">
        <v>35</v>
      </c>
      <c r="B39" s="50" t="inlineStr">
        <is>
          <t>Company Settings</t>
        </is>
      </c>
      <c r="C39" s="50" t="inlineStr">
        <is>
          <t>/admin-tools</t>
        </is>
      </c>
      <c r="D39" s="54" t="inlineStr">
        <is>
          <t>NAVIGATE</t>
        </is>
      </c>
      <c r="E39" s="50" t="inlineStr"/>
      <c r="F39" s="52" t="inlineStr"/>
      <c r="G39" s="52" t="inlineStr">
        <is>
          <t>Admin tools — data import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Company Settings</t>
        </is>
      </c>
      <c r="C40" s="50" t="inlineStr">
        <is>
          <t>/admin-tools</t>
        </is>
      </c>
      <c r="D40" s="55" t="inlineStr">
        <is>
          <t>CLICK</t>
        </is>
      </c>
      <c r="E40" s="50" t="inlineStr">
        <is>
          <t>Import Products</t>
        </is>
      </c>
      <c r="F40" s="52" t="inlineStr"/>
      <c r="G40" s="52" t="inlineStr">
        <is>
          <t>CSV upload form</t>
        </is>
      </c>
      <c r="H40" s="50" t="inlineStr"/>
      <c r="I40" s="53" t="inlineStr"/>
      <c r="J40" s="50" t="inlineStr"/>
    </row>
    <row r="41" ht="18" customHeight="1">
      <c r="A41" s="47" t="n">
        <v>37</v>
      </c>
      <c r="B41" s="50" t="inlineStr">
        <is>
          <t>Company Settings</t>
        </is>
      </c>
      <c r="C41" s="50" t="inlineStr">
        <is>
          <t>/admin-tools</t>
        </is>
      </c>
      <c r="D41" s="56" t="inlineStr">
        <is>
          <t>ENTER</t>
        </is>
      </c>
      <c r="E41" s="50" t="inlineStr">
        <is>
          <t>Upload CSV</t>
        </is>
      </c>
      <c r="F41" s="52" t="inlineStr">
        <is>
          <t>products_import.csv (5 rows)</t>
        </is>
      </c>
      <c r="G41" s="52" t="inlineStr">
        <is>
          <t>5 new items to import</t>
        </is>
      </c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Company Settings</t>
        </is>
      </c>
      <c r="C42" s="50" t="inlineStr">
        <is>
          <t>/admin-tools</t>
        </is>
      </c>
      <c r="D42" s="51" t="inlineStr">
        <is>
          <t>ASSERT</t>
        </is>
      </c>
      <c r="E42" s="50" t="inlineStr">
        <is>
          <t>Preview import</t>
        </is>
      </c>
      <c r="F42" s="52" t="inlineStr">
        <is>
          <t>5 rows valid, 0 errors</t>
        </is>
      </c>
      <c r="G42" s="57" t="inlineStr"/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Company Settings</t>
        </is>
      </c>
      <c r="C43" s="50" t="inlineStr">
        <is>
          <t>/admin-tools</t>
        </is>
      </c>
      <c r="D43" s="55" t="inlineStr">
        <is>
          <t>CLICK</t>
        </is>
      </c>
      <c r="E43" s="50" t="inlineStr">
        <is>
          <t>Confirm Import</t>
        </is>
      </c>
      <c r="F43" s="52" t="inlineStr"/>
      <c r="G43" s="52" t="inlineStr">
        <is>
          <t>5 products created</t>
        </is>
      </c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Company Settings</t>
        </is>
      </c>
      <c r="C44" s="50" t="inlineStr">
        <is>
          <t>/admin-tools</t>
        </is>
      </c>
      <c r="D44" s="51" t="inlineStr">
        <is>
          <t>ASSERT</t>
        </is>
      </c>
      <c r="E44" s="50" t="inlineStr">
        <is>
          <t>Products in system</t>
        </is>
      </c>
      <c r="F44" s="52" t="inlineStr">
        <is>
          <t>5 new items visible in item master</t>
        </is>
      </c>
      <c r="G44" s="57" t="inlineStr"/>
      <c r="H44" s="50" t="inlineStr"/>
      <c r="I44" s="53" t="inlineStr"/>
      <c r="J44" s="50" t="inlineStr"/>
    </row>
    <row r="45" ht="16" customHeight="1">
      <c r="A45" s="70" t="inlineStr">
        <is>
          <t xml:space="preserve">  ▸  — API KEYS —</t>
        </is>
      </c>
    </row>
    <row r="46" ht="18" customHeight="1">
      <c r="A46" s="47" t="n">
        <v>42</v>
      </c>
      <c r="B46" s="50" t="inlineStr">
        <is>
          <t>Company Settings</t>
        </is>
      </c>
      <c r="C46" s="50" t="inlineStr">
        <is>
          <t>/api-keys</t>
        </is>
      </c>
      <c r="D46" s="55" t="inlineStr">
        <is>
          <t>CLICK</t>
        </is>
      </c>
      <c r="E46" s="50" t="inlineStr">
        <is>
          <t>+ Generate API Key</t>
        </is>
      </c>
      <c r="F46" s="52" t="inlineStr"/>
      <c r="G46" s="52" t="inlineStr"/>
      <c r="H46" s="50" t="inlineStr"/>
      <c r="I46" s="53" t="inlineStr"/>
      <c r="J46" s="50" t="inlineStr"/>
    </row>
    <row r="47" ht="18" customHeight="1">
      <c r="A47" s="47" t="n">
        <v>43</v>
      </c>
      <c r="B47" s="50" t="inlineStr">
        <is>
          <t>Company Settings</t>
        </is>
      </c>
      <c r="C47" s="50" t="inlineStr">
        <is>
          <t>/api-keys</t>
        </is>
      </c>
      <c r="D47" s="56" t="inlineStr">
        <is>
          <t>ENTER</t>
        </is>
      </c>
      <c r="E47" s="50" t="inlineStr">
        <is>
          <t>Key Name</t>
        </is>
      </c>
      <c r="F47" s="52" t="inlineStr">
        <is>
          <t>External Portal Integration</t>
        </is>
      </c>
      <c r="G47" s="52" t="inlineStr"/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Company Settings</t>
        </is>
      </c>
      <c r="C48" s="50" t="inlineStr">
        <is>
          <t>/api-keys</t>
        </is>
      </c>
      <c r="D48" s="56" t="inlineStr">
        <is>
          <t>ENTER</t>
        </is>
      </c>
      <c r="E48" s="50" t="inlineStr">
        <is>
          <t>Scopes</t>
        </is>
      </c>
      <c r="F48" s="52" t="inlineStr">
        <is>
          <t>Read: invoices, inventory</t>
        </is>
      </c>
      <c r="G48" s="52" t="inlineStr"/>
      <c r="H48" s="50" t="inlineStr"/>
      <c r="I48" s="53" t="inlineStr"/>
      <c r="J48" s="50" t="inlineStr"/>
    </row>
    <row r="49" ht="18" customHeight="1">
      <c r="A49" s="47" t="n">
        <v>45</v>
      </c>
      <c r="B49" s="50" t="inlineStr">
        <is>
          <t>Company Settings</t>
        </is>
      </c>
      <c r="C49" s="50" t="inlineStr">
        <is>
          <t>/api-keys</t>
        </is>
      </c>
      <c r="D49" s="55" t="inlineStr">
        <is>
          <t>CLICK</t>
        </is>
      </c>
      <c r="E49" s="50" t="inlineStr">
        <is>
          <t>Generate</t>
        </is>
      </c>
      <c r="F49" s="52" t="inlineStr"/>
      <c r="G49" s="52" t="inlineStr">
        <is>
          <t>Key shown ONCE — copy it</t>
        </is>
      </c>
      <c r="H49" s="50" t="inlineStr"/>
      <c r="I49" s="53" t="inlineStr"/>
      <c r="J49" s="50" t="inlineStr"/>
    </row>
    <row r="50" ht="32" customHeight="1">
      <c r="A50" s="47" t="n">
        <v>46</v>
      </c>
      <c r="B50" s="50" t="inlineStr">
        <is>
          <t>Company Settings</t>
        </is>
      </c>
      <c r="C50" s="50" t="inlineStr">
        <is>
          <t>/api-keys</t>
        </is>
      </c>
      <c r="D50" s="51" t="inlineStr">
        <is>
          <t>ASSERT</t>
        </is>
      </c>
      <c r="E50" s="50" t="inlineStr">
        <is>
          <t>Key in list</t>
        </is>
      </c>
      <c r="F50" s="52" t="inlineStr">
        <is>
          <t>External Portal Integration — Created today — Active</t>
        </is>
      </c>
      <c r="G50" s="57" t="inlineStr"/>
      <c r="H50" s="50" t="inlineStr"/>
      <c r="I50" s="53" t="inlineStr"/>
      <c r="J50" s="50" t="inlineStr"/>
    </row>
    <row r="51" ht="32" customHeight="1">
      <c r="A51" s="47" t="n">
        <v>47</v>
      </c>
      <c r="B51" s="50" t="inlineStr">
        <is>
          <t>Company Settings</t>
        </is>
      </c>
      <c r="C51" s="50" t="inlineStr">
        <is>
          <t>/api-keys</t>
        </is>
      </c>
      <c r="D51" s="51" t="inlineStr">
        <is>
          <t>ASSERT</t>
        </is>
      </c>
      <c r="E51" s="50" t="inlineStr">
        <is>
          <t>Audit trail entry</t>
        </is>
      </c>
      <c r="F51" s="52" t="inlineStr">
        <is>
          <t>API key created — logged with user + timestamp</t>
        </is>
      </c>
      <c r="G51" s="57" t="inlineStr"/>
      <c r="H51" s="50" t="inlineStr"/>
      <c r="I51" s="53" t="inlineStr"/>
      <c r="J51" s="50" t="inlineStr"/>
    </row>
  </sheetData>
  <mergeCells count="7">
    <mergeCell ref="A1:J1"/>
    <mergeCell ref="A45:J45"/>
    <mergeCell ref="A32:J32"/>
    <mergeCell ref="A38:J38"/>
    <mergeCell ref="A2:J2"/>
    <mergeCell ref="A25:J25"/>
    <mergeCell ref="A13:J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26: Standard ERP Gaps — Budget, Fixed Assets, TDS, Warehouse, Project BOQ, Recurring</t>
        </is>
      </c>
    </row>
    <row r="2" ht="16" customHeight="1">
      <c r="A2" s="46" t="inlineStr">
        <is>
          <t>Budget variance report → fixed asset depreciation run → TDS 194C entry + 26Q → warehouse stock transfer → project BOQ + milestone billing → recurring invoice setup</t>
        </is>
      </c>
    </row>
    <row r="3" ht="18" customHeight="1">
      <c r="A3" s="47" t="inlineStr">
        <is>
          <t>Flow</t>
        </is>
      </c>
      <c r="B3" s="48" t="inlineStr">
        <is>
          <t>F26</t>
        </is>
      </c>
      <c r="C3" s="47" t="inlineStr">
        <is>
          <t>Steps</t>
        </is>
      </c>
      <c r="D3" s="48" t="n">
        <v>67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This flow covers standard ERP screens not tested in any jewellery flow: Budget Variance, Fixed Assets Depreciation, TDS 26Q, Multi-location Warehouse, Project BOQ + Milestone Billing, Recurring Invoices.</t>
        </is>
      </c>
      <c r="F5" s="52" t="inlineStr"/>
      <c r="G5" s="52" t="inlineStr"/>
      <c r="H5" s="50" t="inlineStr"/>
      <c r="I5" s="53" t="inlineStr"/>
      <c r="J5" s="50" t="inlineStr"/>
    </row>
    <row r="6" ht="16" customHeight="1">
      <c r="A6" s="70" t="inlineStr">
        <is>
          <t xml:space="preserve">  ▸  — BUDGET VARIANCE —</t>
        </is>
      </c>
    </row>
    <row r="7" ht="18" customHeight="1">
      <c r="A7" s="47" t="n">
        <v>3</v>
      </c>
      <c r="B7" s="50" t="inlineStr">
        <is>
          <t>Budget Variance</t>
        </is>
      </c>
      <c r="C7" s="50" t="inlineStr">
        <is>
          <t>/budget-variance</t>
        </is>
      </c>
      <c r="D7" s="54" t="inlineStr">
        <is>
          <t>NAVIGATE</t>
        </is>
      </c>
      <c r="E7" s="50" t="inlineStr"/>
      <c r="F7" s="52" t="inlineStr"/>
      <c r="G7" s="52" t="inlineStr">
        <is>
          <t>Budget variance screen</t>
        </is>
      </c>
      <c r="H7" s="50" t="inlineStr"/>
      <c r="I7" s="53" t="inlineStr"/>
      <c r="J7" s="50" t="inlineStr"/>
    </row>
    <row r="8" ht="18" customHeight="1">
      <c r="A8" s="47" t="n">
        <v>4</v>
      </c>
      <c r="B8" s="50" t="inlineStr">
        <is>
          <t>Budget Variance</t>
        </is>
      </c>
      <c r="C8" s="50" t="inlineStr">
        <is>
          <t>/budget-variance</t>
        </is>
      </c>
      <c r="D8" s="55" t="inlineStr">
        <is>
          <t>CLICK</t>
        </is>
      </c>
      <c r="E8" s="50" t="inlineStr">
        <is>
          <t>+ Set Budget — Jan 2024</t>
        </is>
      </c>
      <c r="F8" s="52" t="inlineStr"/>
      <c r="G8" s="52" t="inlineStr">
        <is>
          <t>Budget form</t>
        </is>
      </c>
      <c r="H8" s="50" t="inlineStr"/>
      <c r="I8" s="53" t="inlineStr"/>
      <c r="J8" s="50" t="inlineStr"/>
    </row>
    <row r="9" ht="18" customHeight="1">
      <c r="A9" s="47" t="n">
        <v>5</v>
      </c>
      <c r="B9" s="50" t="inlineStr">
        <is>
          <t>Budget Variance</t>
        </is>
      </c>
      <c r="C9" s="50" t="inlineStr">
        <is>
          <t>/budget-variance</t>
        </is>
      </c>
      <c r="D9" s="56" t="inlineStr">
        <is>
          <t>ENTER</t>
        </is>
      </c>
      <c r="E9" s="50" t="inlineStr">
        <is>
          <t>Category</t>
        </is>
      </c>
      <c r="F9" s="52" t="inlineStr">
        <is>
          <t>Raw Material (Gold)</t>
        </is>
      </c>
      <c r="G9" s="52" t="inlineStr"/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Budget Variance</t>
        </is>
      </c>
      <c r="C10" s="50" t="inlineStr">
        <is>
          <t>/budget-variance</t>
        </is>
      </c>
      <c r="D10" s="56" t="inlineStr">
        <is>
          <t>ENTER</t>
        </is>
      </c>
      <c r="E10" s="50" t="inlineStr">
        <is>
          <t>Budgeted Amount</t>
        </is>
      </c>
      <c r="F10" s="52" t="inlineStr">
        <is>
          <t>₹5,00,000</t>
        </is>
      </c>
      <c r="G10" s="52" t="inlineStr"/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Budget Variance</t>
        </is>
      </c>
      <c r="C11" s="50" t="inlineStr">
        <is>
          <t>/budget-variance</t>
        </is>
      </c>
      <c r="D11" s="51" t="inlineStr">
        <is>
          <t>ASSERT</t>
        </is>
      </c>
      <c r="E11" s="50" t="inlineStr">
        <is>
          <t>Actual (Jan 2024)</t>
        </is>
      </c>
      <c r="F11" s="52" t="inlineStr">
        <is>
          <t>₹7,06,374 (bullion purchase from F5)</t>
        </is>
      </c>
      <c r="G11" s="57" t="inlineStr">
        <is>
          <t>From actual transactions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Budget Variance</t>
        </is>
      </c>
      <c r="C12" s="50" t="inlineStr">
        <is>
          <t>/budget-variance</t>
        </is>
      </c>
      <c r="D12" s="51" t="inlineStr">
        <is>
          <t>ASSERT</t>
        </is>
      </c>
      <c r="E12" s="50" t="inlineStr">
        <is>
          <t>Variance</t>
        </is>
      </c>
      <c r="F12" s="52" t="inlineStr">
        <is>
          <t>−₹2,06,374 (overspent)</t>
        </is>
      </c>
      <c r="G12" s="57" t="inlineStr">
        <is>
          <t>Actual &gt; Budget = negative variance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Budget Variance</t>
        </is>
      </c>
      <c r="C13" s="50" t="inlineStr">
        <is>
          <t>/budget-variance</t>
        </is>
      </c>
      <c r="D13" s="51" t="inlineStr">
        <is>
          <t>ASSERT</t>
        </is>
      </c>
      <c r="E13" s="50" t="inlineStr">
        <is>
          <t>Variance % (auto)</t>
        </is>
      </c>
      <c r="F13" s="52" t="inlineStr">
        <is>
          <t>−41.3%</t>
        </is>
      </c>
      <c r="G13" s="57" t="inlineStr">
        <is>
          <t>Over budget by 41.3%</t>
        </is>
      </c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Budget Variance</t>
        </is>
      </c>
      <c r="C14" s="50" t="inlineStr">
        <is>
          <t>/budget-variance</t>
        </is>
      </c>
      <c r="D14" s="51" t="inlineStr">
        <is>
          <t>ASSERT</t>
        </is>
      </c>
      <c r="E14" s="50" t="inlineStr">
        <is>
          <t>Alert colour</t>
        </is>
      </c>
      <c r="F14" s="52" t="inlineStr">
        <is>
          <t>Red — over budget</t>
        </is>
      </c>
      <c r="G14" s="57" t="inlineStr"/>
      <c r="H14" s="50" t="inlineStr"/>
      <c r="I14" s="53" t="inlineStr"/>
      <c r="J14" s="50" t="inlineStr"/>
    </row>
    <row r="15" ht="16" customHeight="1">
      <c r="A15" s="70" t="inlineStr">
        <is>
          <t xml:space="preserve">  ▸  — FIXED ASSETS + DEPRECIATION —</t>
        </is>
      </c>
    </row>
    <row r="16" ht="18" customHeight="1">
      <c r="A16" s="47" t="n">
        <v>12</v>
      </c>
      <c r="B16" s="50" t="inlineStr">
        <is>
          <t>Fixed Assets</t>
        </is>
      </c>
      <c r="C16" s="50" t="inlineStr">
        <is>
          <t>/fixed-assets</t>
        </is>
      </c>
      <c r="D16" s="54" t="inlineStr">
        <is>
          <t>NAVIGATE</t>
        </is>
      </c>
      <c r="E16" s="50" t="inlineStr"/>
      <c r="F16" s="52" t="inlineStr"/>
      <c r="G16" s="52" t="inlineStr">
        <is>
          <t>Fixed asset register</t>
        </is>
      </c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Fixed Assets</t>
        </is>
      </c>
      <c r="C17" s="50" t="inlineStr">
        <is>
          <t>/fixed-assets</t>
        </is>
      </c>
      <c r="D17" s="55" t="inlineStr">
        <is>
          <t>CLICK</t>
        </is>
      </c>
      <c r="E17" s="50" t="inlineStr">
        <is>
          <t>+ Add Asset</t>
        </is>
      </c>
      <c r="F17" s="52" t="inlineStr"/>
      <c r="G17" s="52" t="inlineStr">
        <is>
          <t>Asset form</t>
        </is>
      </c>
      <c r="H17" s="50" t="inlineStr"/>
      <c r="I17" s="53" t="inlineStr"/>
      <c r="J17" s="50" t="inlineStr"/>
    </row>
    <row r="18" ht="18" customHeight="1">
      <c r="A18" s="47" t="n">
        <v>14</v>
      </c>
      <c r="B18" s="50" t="inlineStr">
        <is>
          <t>Fixed Assets</t>
        </is>
      </c>
      <c r="C18" s="50" t="inlineStr">
        <is>
          <t>/fixed-assets</t>
        </is>
      </c>
      <c r="D18" s="56" t="inlineStr">
        <is>
          <t>ENTER</t>
        </is>
      </c>
      <c r="E18" s="50" t="inlineStr">
        <is>
          <t>Asset Name</t>
        </is>
      </c>
      <c r="F18" s="52" t="inlineStr">
        <is>
          <t>Goldsmith Furnace Machine</t>
        </is>
      </c>
      <c r="G18" s="52" t="inlineStr"/>
      <c r="H18" s="50" t="inlineStr"/>
      <c r="I18" s="53" t="inlineStr"/>
      <c r="J18" s="50" t="inlineStr"/>
    </row>
    <row r="19" ht="18" customHeight="1">
      <c r="A19" s="47" t="n">
        <v>15</v>
      </c>
      <c r="B19" s="50" t="inlineStr">
        <is>
          <t>Fixed Assets</t>
        </is>
      </c>
      <c r="C19" s="50" t="inlineStr">
        <is>
          <t>/fixed-assets</t>
        </is>
      </c>
      <c r="D19" s="56" t="inlineStr">
        <is>
          <t>ENTER</t>
        </is>
      </c>
      <c r="E19" s="50" t="inlineStr">
        <is>
          <t>Purchase Date</t>
        </is>
      </c>
      <c r="F19" s="52" t="inlineStr">
        <is>
          <t>01-Jan-2024</t>
        </is>
      </c>
      <c r="G19" s="52" t="inlineStr"/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Fixed Assets</t>
        </is>
      </c>
      <c r="C20" s="50" t="inlineStr">
        <is>
          <t>/fixed-assets</t>
        </is>
      </c>
      <c r="D20" s="56" t="inlineStr">
        <is>
          <t>ENTER</t>
        </is>
      </c>
      <c r="E20" s="50" t="inlineStr">
        <is>
          <t>Purchase Value</t>
        </is>
      </c>
      <c r="F20" s="52" t="inlineStr">
        <is>
          <t>₹1,50,000</t>
        </is>
      </c>
      <c r="G20" s="52" t="inlineStr"/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Fixed Assets</t>
        </is>
      </c>
      <c r="C21" s="50" t="inlineStr">
        <is>
          <t>/fixed-assets</t>
        </is>
      </c>
      <c r="D21" s="56" t="inlineStr">
        <is>
          <t>ENTER</t>
        </is>
      </c>
      <c r="E21" s="50" t="inlineStr">
        <is>
          <t>Depreciation Method</t>
        </is>
      </c>
      <c r="F21" s="52" t="inlineStr">
        <is>
          <t>Straight Line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Fixed Assets</t>
        </is>
      </c>
      <c r="C22" s="50" t="inlineStr">
        <is>
          <t>/fixed-assets</t>
        </is>
      </c>
      <c r="D22" s="56" t="inlineStr">
        <is>
          <t>ENTER</t>
        </is>
      </c>
      <c r="E22" s="50" t="inlineStr">
        <is>
          <t>Useful Life</t>
        </is>
      </c>
      <c r="F22" s="52" t="inlineStr">
        <is>
          <t>5 years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Fixed Assets</t>
        </is>
      </c>
      <c r="C23" s="50" t="inlineStr">
        <is>
          <t>/fixed-assets</t>
        </is>
      </c>
      <c r="D23" s="51" t="inlineStr">
        <is>
          <t>ASSERT</t>
        </is>
      </c>
      <c r="E23" s="50" t="inlineStr">
        <is>
          <t>Annual depreciation (auto)</t>
        </is>
      </c>
      <c r="F23" s="52" t="inlineStr">
        <is>
          <t>₹30,000</t>
        </is>
      </c>
      <c r="G23" s="57" t="inlineStr">
        <is>
          <t>₹1,50,000 ÷ 5</t>
        </is>
      </c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Fixed Assets</t>
        </is>
      </c>
      <c r="C24" s="50" t="inlineStr">
        <is>
          <t>/fixed-assets</t>
        </is>
      </c>
      <c r="D24" s="51" t="inlineStr">
        <is>
          <t>ASSERT</t>
        </is>
      </c>
      <c r="E24" s="50" t="inlineStr">
        <is>
          <t>Monthly depreciation (auto)</t>
        </is>
      </c>
      <c r="F24" s="52" t="inlineStr">
        <is>
          <t>₹2,500</t>
        </is>
      </c>
      <c r="G24" s="57" t="inlineStr">
        <is>
          <t>₹30,000 ÷ 12</t>
        </is>
      </c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Fixed Assets</t>
        </is>
      </c>
      <c r="C25" s="50" t="inlineStr">
        <is>
          <t>/fixed-assets</t>
        </is>
      </c>
      <c r="D25" s="55" t="inlineStr">
        <is>
          <t>CLICK</t>
        </is>
      </c>
      <c r="E25" s="50" t="inlineStr">
        <is>
          <t>Run Depreciation — Jan 2024</t>
        </is>
      </c>
      <c r="F25" s="52" t="inlineStr"/>
      <c r="G25" s="52" t="inlineStr">
        <is>
          <t>Depreciation journal entry created</t>
        </is>
      </c>
      <c r="H25" s="50" t="inlineStr"/>
      <c r="I25" s="53" t="inlineStr"/>
      <c r="J25" s="50" t="inlineStr"/>
    </row>
    <row r="26" ht="32" customHeight="1">
      <c r="A26" s="47" t="n">
        <v>22</v>
      </c>
      <c r="B26" s="50" t="inlineStr">
        <is>
          <t>Fixed Assets</t>
        </is>
      </c>
      <c r="C26" s="50" t="inlineStr">
        <is>
          <t>/fixed-assets</t>
        </is>
      </c>
      <c r="D26" s="51" t="inlineStr">
        <is>
          <t>ASSERT</t>
        </is>
      </c>
      <c r="E26" s="50" t="inlineStr">
        <is>
          <t>Journal entry</t>
        </is>
      </c>
      <c r="F26" s="52" t="inlineStr">
        <is>
          <t>Dr Depreciation Expense ₹2,500 | Cr Accumulated Depreciation ₹2,500</t>
        </is>
      </c>
      <c r="G26" s="57" t="inlineStr"/>
      <c r="H26" s="50" t="inlineStr"/>
      <c r="I26" s="53" t="inlineStr"/>
      <c r="J26" s="50" t="inlineStr"/>
    </row>
    <row r="27" ht="16" customHeight="1">
      <c r="A27" s="70" t="inlineStr">
        <is>
          <t xml:space="preserve">  ▸  — TDS DEDUCTION + 26Q —</t>
        </is>
      </c>
    </row>
    <row r="28" ht="18" customHeight="1">
      <c r="A28" s="47" t="n">
        <v>24</v>
      </c>
      <c r="B28" s="50" t="inlineStr">
        <is>
          <t>TDS Management</t>
        </is>
      </c>
      <c r="C28" s="50" t="inlineStr">
        <is>
          <t>/tds-management</t>
        </is>
      </c>
      <c r="D28" s="54" t="inlineStr">
        <is>
          <t>NAVIGATE</t>
        </is>
      </c>
      <c r="E28" s="50" t="inlineStr"/>
      <c r="F28" s="52" t="inlineStr"/>
      <c r="G28" s="52" t="inlineStr">
        <is>
          <t>TDS management screen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TDS Management</t>
        </is>
      </c>
      <c r="C29" s="50" t="inlineStr">
        <is>
          <t>/tds-management</t>
        </is>
      </c>
      <c r="D29" s="55" t="inlineStr">
        <is>
          <t>CLICK</t>
        </is>
      </c>
      <c r="E29" s="50" t="inlineStr">
        <is>
          <t>+ TDS Entry</t>
        </is>
      </c>
      <c r="F29" s="52" t="inlineStr"/>
      <c r="G29" s="52" t="inlineStr"/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TDS Management</t>
        </is>
      </c>
      <c r="C30" s="50" t="inlineStr">
        <is>
          <t>/tds-management</t>
        </is>
      </c>
      <c r="D30" s="56" t="inlineStr">
        <is>
          <t>ENTER</t>
        </is>
      </c>
      <c r="E30" s="50" t="inlineStr">
        <is>
          <t>Vendor</t>
        </is>
      </c>
      <c r="F30" s="52" t="inlineStr">
        <is>
          <t>Madhava Stone Traders — PAN: AACPM5678B</t>
        </is>
      </c>
      <c r="G30" s="52" t="inlineStr"/>
      <c r="H30" s="50" t="inlineStr"/>
      <c r="I30" s="53" t="inlineStr"/>
      <c r="J30" s="50" t="inlineStr"/>
    </row>
    <row r="31" ht="18" customHeight="1">
      <c r="A31" s="47" t="n">
        <v>27</v>
      </c>
      <c r="B31" s="50" t="inlineStr">
        <is>
          <t>TDS Management</t>
        </is>
      </c>
      <c r="C31" s="50" t="inlineStr">
        <is>
          <t>/tds-management</t>
        </is>
      </c>
      <c r="D31" s="56" t="inlineStr">
        <is>
          <t>ENTER</t>
        </is>
      </c>
      <c r="E31" s="50" t="inlineStr">
        <is>
          <t>Section</t>
        </is>
      </c>
      <c r="F31" s="52" t="inlineStr">
        <is>
          <t>194C — Contractor payment</t>
        </is>
      </c>
      <c r="G31" s="52" t="inlineStr"/>
      <c r="H31" s="50" t="inlineStr"/>
      <c r="I31" s="53" t="inlineStr"/>
      <c r="J31" s="50" t="inlineStr"/>
    </row>
    <row r="32" ht="18" customHeight="1">
      <c r="A32" s="47" t="n">
        <v>28</v>
      </c>
      <c r="B32" s="50" t="inlineStr">
        <is>
          <t>TDS Management</t>
        </is>
      </c>
      <c r="C32" s="50" t="inlineStr">
        <is>
          <t>/tds-management</t>
        </is>
      </c>
      <c r="D32" s="56" t="inlineStr">
        <is>
          <t>ENTER</t>
        </is>
      </c>
      <c r="E32" s="50" t="inlineStr">
        <is>
          <t>Payment Amount</t>
        </is>
      </c>
      <c r="F32" s="52" t="inlineStr">
        <is>
          <t>₹87,550</t>
        </is>
      </c>
      <c r="G32" s="52" t="inlineStr">
        <is>
          <t>Stone purchase (F17)</t>
        </is>
      </c>
      <c r="H32" s="50" t="inlineStr"/>
      <c r="I32" s="53" t="inlineStr"/>
      <c r="J32" s="50" t="inlineStr"/>
    </row>
    <row r="33" ht="32" customHeight="1">
      <c r="A33" s="47" t="n">
        <v>29</v>
      </c>
      <c r="B33" s="50" t="inlineStr">
        <is>
          <t>TDS Management</t>
        </is>
      </c>
      <c r="C33" s="50" t="inlineStr">
        <is>
          <t>/tds-management</t>
        </is>
      </c>
      <c r="D33" s="51" t="inlineStr">
        <is>
          <t>ASSERT</t>
        </is>
      </c>
      <c r="E33" s="50" t="inlineStr">
        <is>
          <t>TDS Rate (auto)</t>
        </is>
      </c>
      <c r="F33" s="52" t="inlineStr">
        <is>
          <t>1% (single contract &lt;₹30,000 threshold exceeded)</t>
        </is>
      </c>
      <c r="G33" s="57" t="inlineStr"/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TDS Management</t>
        </is>
      </c>
      <c r="C34" s="50" t="inlineStr">
        <is>
          <t>/tds-management</t>
        </is>
      </c>
      <c r="D34" s="51" t="inlineStr">
        <is>
          <t>ASSERT</t>
        </is>
      </c>
      <c r="E34" s="50" t="inlineStr">
        <is>
          <t>TDS Amount (auto)</t>
        </is>
      </c>
      <c r="F34" s="52" t="inlineStr">
        <is>
          <t>₹875</t>
        </is>
      </c>
      <c r="G34" s="57" t="inlineStr">
        <is>
          <t>₹87,550 × 1%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TDS Management</t>
        </is>
      </c>
      <c r="C35" s="50" t="inlineStr">
        <is>
          <t>/tds-management</t>
        </is>
      </c>
      <c r="D35" s="55" t="inlineStr">
        <is>
          <t>CLICK</t>
        </is>
      </c>
      <c r="E35" s="50" t="inlineStr">
        <is>
          <t>Generate Form 26Q — Q4 FY2024</t>
        </is>
      </c>
      <c r="F35" s="52" t="inlineStr"/>
      <c r="G35" s="52" t="inlineStr">
        <is>
          <t>26Q preparation</t>
        </is>
      </c>
      <c r="H35" s="50" t="inlineStr"/>
      <c r="I35" s="53" t="inlineStr"/>
      <c r="J35" s="50" t="inlineStr"/>
    </row>
    <row r="36" ht="32" customHeight="1">
      <c r="A36" s="47" t="n">
        <v>32</v>
      </c>
      <c r="B36" s="50" t="inlineStr">
        <is>
          <t>TDS Management</t>
        </is>
      </c>
      <c r="C36" s="50" t="inlineStr">
        <is>
          <t>/tds-management</t>
        </is>
      </c>
      <c r="D36" s="51" t="inlineStr">
        <is>
          <t>ASSERT</t>
        </is>
      </c>
      <c r="E36" s="50" t="inlineStr">
        <is>
          <t>26Q data</t>
        </is>
      </c>
      <c r="F36" s="52" t="inlineStr">
        <is>
          <t>Madhava Stone: ₹87,550 paid, ₹875 TDS deducted</t>
        </is>
      </c>
      <c r="G36" s="57" t="inlineStr"/>
      <c r="H36" s="50" t="inlineStr"/>
      <c r="I36" s="53" t="inlineStr"/>
      <c r="J36" s="50" t="inlineStr"/>
    </row>
    <row r="37" ht="18" customHeight="1">
      <c r="A37" s="47" t="n">
        <v>33</v>
      </c>
      <c r="B37" s="50" t="inlineStr">
        <is>
          <t>TDS Management</t>
        </is>
      </c>
      <c r="C37" s="50" t="inlineStr">
        <is>
          <t>/tds-management</t>
        </is>
      </c>
      <c r="D37" s="55" t="inlineStr">
        <is>
          <t>CLICK</t>
        </is>
      </c>
      <c r="E37" s="50" t="inlineStr">
        <is>
          <t>Download FVU file</t>
        </is>
      </c>
      <c r="F37" s="52" t="inlineStr"/>
      <c r="G37" s="52" t="inlineStr">
        <is>
          <t>Ready for TRACES upload</t>
        </is>
      </c>
      <c r="H37" s="50" t="inlineStr"/>
      <c r="I37" s="53" t="inlineStr"/>
      <c r="J37" s="50" t="inlineStr"/>
    </row>
    <row r="38" ht="16" customHeight="1">
      <c r="A38" s="70" t="inlineStr">
        <is>
          <t xml:space="preserve">  ▸  — MULTI-LOCATION WAREHOUSE TRANSFER —</t>
        </is>
      </c>
    </row>
    <row r="39" ht="18" customHeight="1">
      <c r="A39" s="47" t="n">
        <v>35</v>
      </c>
      <c r="B39" s="50" t="inlineStr">
        <is>
          <t>Warehouses</t>
        </is>
      </c>
      <c r="C39" s="50" t="inlineStr">
        <is>
          <t>/warehouses</t>
        </is>
      </c>
      <c r="D39" s="54" t="inlineStr">
        <is>
          <t>NAVIGATE</t>
        </is>
      </c>
      <c r="E39" s="50" t="inlineStr"/>
      <c r="F39" s="52" t="inlineStr"/>
      <c r="G39" s="52" t="inlineStr">
        <is>
          <t>Warehouse list</t>
        </is>
      </c>
      <c r="H39" s="50" t="inlineStr"/>
      <c r="I39" s="53" t="inlineStr"/>
      <c r="J39" s="50" t="inlineStr"/>
    </row>
    <row r="40" ht="18" customHeight="1">
      <c r="A40" s="47" t="n">
        <v>36</v>
      </c>
      <c r="B40" s="50" t="inlineStr">
        <is>
          <t>Warehouses</t>
        </is>
      </c>
      <c r="C40" s="50" t="inlineStr">
        <is>
          <t>/warehouses</t>
        </is>
      </c>
      <c r="D40" s="51" t="inlineStr">
        <is>
          <t>ASSERT</t>
        </is>
      </c>
      <c r="E40" s="50" t="inlineStr">
        <is>
          <t>Locations</t>
        </is>
      </c>
      <c r="F40" s="52" t="inlineStr">
        <is>
          <t>Main Store, Vault, Banjara Hills Branch</t>
        </is>
      </c>
      <c r="G40" s="57" t="inlineStr">
        <is>
          <t>From earlier setup</t>
        </is>
      </c>
      <c r="H40" s="50" t="inlineStr"/>
      <c r="I40" s="53" t="inlineStr"/>
      <c r="J40" s="50" t="inlineStr"/>
    </row>
    <row r="41" ht="18" customHeight="1">
      <c r="A41" s="47" t="n">
        <v>37</v>
      </c>
      <c r="B41" s="50" t="inlineStr">
        <is>
          <t>Warehouses</t>
        </is>
      </c>
      <c r="C41" s="50" t="inlineStr">
        <is>
          <t>/warehouses</t>
        </is>
      </c>
      <c r="D41" s="55" t="inlineStr">
        <is>
          <t>CLICK</t>
        </is>
      </c>
      <c r="E41" s="50" t="inlineStr">
        <is>
          <t>+ Stock Transfer</t>
        </is>
      </c>
      <c r="F41" s="52" t="inlineStr"/>
      <c r="G41" s="52" t="inlineStr">
        <is>
          <t>Transfer within ERP (non-jewellery items)</t>
        </is>
      </c>
      <c r="H41" s="50" t="inlineStr"/>
      <c r="I41" s="53" t="inlineStr"/>
      <c r="J41" s="50" t="inlineStr"/>
    </row>
    <row r="42" ht="18" customHeight="1">
      <c r="A42" s="47" t="n">
        <v>38</v>
      </c>
      <c r="B42" s="50" t="inlineStr">
        <is>
          <t>Warehouses</t>
        </is>
      </c>
      <c r="C42" s="50" t="inlineStr">
        <is>
          <t>/warehouses</t>
        </is>
      </c>
      <c r="D42" s="56" t="inlineStr">
        <is>
          <t>ENTER</t>
        </is>
      </c>
      <c r="E42" s="50" t="inlineStr">
        <is>
          <t>From</t>
        </is>
      </c>
      <c r="F42" s="52" t="inlineStr">
        <is>
          <t>Main Store — Spare Parts Shelf</t>
        </is>
      </c>
      <c r="G42" s="52" t="inlineStr"/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Warehouses</t>
        </is>
      </c>
      <c r="C43" s="50" t="inlineStr">
        <is>
          <t>/warehouses</t>
        </is>
      </c>
      <c r="D43" s="56" t="inlineStr">
        <is>
          <t>ENTER</t>
        </is>
      </c>
      <c r="E43" s="50" t="inlineStr">
        <is>
          <t>To</t>
        </is>
      </c>
      <c r="F43" s="52" t="inlineStr">
        <is>
          <t>Production Floor</t>
        </is>
      </c>
      <c r="G43" s="52" t="inlineStr"/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Warehouses</t>
        </is>
      </c>
      <c r="C44" s="50" t="inlineStr">
        <is>
          <t>/warehouses</t>
        </is>
      </c>
      <c r="D44" s="56" t="inlineStr">
        <is>
          <t>ENTER</t>
        </is>
      </c>
      <c r="E44" s="50" t="inlineStr">
        <is>
          <t>Item</t>
        </is>
      </c>
      <c r="F44" s="52" t="inlineStr">
        <is>
          <t>Polishing compound — 500gm</t>
        </is>
      </c>
      <c r="G44" s="52" t="inlineStr"/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Warehouses</t>
        </is>
      </c>
      <c r="C45" s="50" t="inlineStr">
        <is>
          <t>/warehouses</t>
        </is>
      </c>
      <c r="D45" s="56" t="inlineStr">
        <is>
          <t>ENTER</t>
        </is>
      </c>
      <c r="E45" s="50" t="inlineStr">
        <is>
          <t>Quantity</t>
        </is>
      </c>
      <c r="F45" s="52" t="inlineStr">
        <is>
          <t>200 gm</t>
        </is>
      </c>
      <c r="G45" s="52" t="inlineStr"/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Warehouses</t>
        </is>
      </c>
      <c r="C46" s="50" t="inlineStr">
        <is>
          <t>/warehouses</t>
        </is>
      </c>
      <c r="D46" s="55" t="inlineStr">
        <is>
          <t>CLICK</t>
        </is>
      </c>
      <c r="E46" s="50" t="inlineStr">
        <is>
          <t>Transfer</t>
        </is>
      </c>
      <c r="F46" s="52" t="inlineStr"/>
      <c r="G46" s="52" t="inlineStr">
        <is>
          <t>Stock moved. Both locations updated.</t>
        </is>
      </c>
      <c r="H46" s="50" t="inlineStr"/>
      <c r="I46" s="53" t="inlineStr"/>
      <c r="J46" s="50" t="inlineStr"/>
    </row>
    <row r="47" ht="16" customHeight="1">
      <c r="A47" s="70" t="inlineStr">
        <is>
          <t xml:space="preserve">  ▸  — PROJECT BOQ + MILESTONE BILLING —</t>
        </is>
      </c>
    </row>
    <row r="48" ht="18" customHeight="1">
      <c r="A48" s="47" t="n">
        <v>44</v>
      </c>
      <c r="B48" s="50" t="inlineStr">
        <is>
          <t>Projects</t>
        </is>
      </c>
      <c r="C48" s="50" t="inlineStr">
        <is>
          <t>/projects</t>
        </is>
      </c>
      <c r="D48" s="55" t="inlineStr">
        <is>
          <t>CLICK</t>
        </is>
      </c>
      <c r="E48" s="50" t="inlineStr">
        <is>
          <t>+ New Project</t>
        </is>
      </c>
      <c r="F48" s="52" t="inlineStr"/>
      <c r="G48" s="52" t="inlineStr">
        <is>
          <t>Project form</t>
        </is>
      </c>
      <c r="H48" s="50" t="inlineStr"/>
      <c r="I48" s="53" t="inlineStr"/>
      <c r="J48" s="50" t="inlineStr"/>
    </row>
    <row r="49" ht="18" customHeight="1">
      <c r="A49" s="47" t="n">
        <v>45</v>
      </c>
      <c r="B49" s="50" t="inlineStr">
        <is>
          <t>Projects</t>
        </is>
      </c>
      <c r="C49" s="50" t="inlineStr">
        <is>
          <t>/projects</t>
        </is>
      </c>
      <c r="D49" s="56" t="inlineStr">
        <is>
          <t>ENTER</t>
        </is>
      </c>
      <c r="E49" s="50" t="inlineStr">
        <is>
          <t>Project Name</t>
        </is>
      </c>
      <c r="F49" s="52" t="inlineStr">
        <is>
          <t>Vijay Kumar Wedding Jewellery Order</t>
        </is>
      </c>
      <c r="G49" s="52" t="inlineStr"/>
      <c r="H49" s="50" t="inlineStr"/>
      <c r="I49" s="53" t="inlineStr"/>
      <c r="J49" s="50" t="inlineStr"/>
    </row>
    <row r="50" ht="18" customHeight="1">
      <c r="A50" s="47" t="n">
        <v>46</v>
      </c>
      <c r="B50" s="50" t="inlineStr">
        <is>
          <t>Projects</t>
        </is>
      </c>
      <c r="C50" s="50" t="inlineStr">
        <is>
          <t>/projects</t>
        </is>
      </c>
      <c r="D50" s="56" t="inlineStr">
        <is>
          <t>ENTER</t>
        </is>
      </c>
      <c r="E50" s="50" t="inlineStr">
        <is>
          <t>Customer</t>
        </is>
      </c>
      <c r="F50" s="52" t="inlineStr">
        <is>
          <t>Vijay Kumar</t>
        </is>
      </c>
      <c r="G50" s="52" t="inlineStr"/>
      <c r="H50" s="50" t="inlineStr"/>
      <c r="I50" s="53" t="inlineStr"/>
      <c r="J50" s="50" t="inlineStr"/>
    </row>
    <row r="51" ht="18" customHeight="1">
      <c r="A51" s="47" t="n">
        <v>47</v>
      </c>
      <c r="B51" s="50" t="inlineStr">
        <is>
          <t>Projects</t>
        </is>
      </c>
      <c r="C51" s="50" t="inlineStr">
        <is>
          <t>/projects</t>
        </is>
      </c>
      <c r="D51" s="56" t="inlineStr">
        <is>
          <t>ENTER</t>
        </is>
      </c>
      <c r="E51" s="50" t="inlineStr">
        <is>
          <t>Total Value</t>
        </is>
      </c>
      <c r="F51" s="52" t="inlineStr">
        <is>
          <t>₹1,93,540</t>
        </is>
      </c>
      <c r="G51" s="52" t="inlineStr"/>
      <c r="H51" s="50" t="inlineStr"/>
      <c r="I51" s="53" t="inlineStr"/>
      <c r="J51" s="50" t="inlineStr"/>
    </row>
    <row r="52" ht="18" customHeight="1">
      <c r="A52" s="47" t="n">
        <v>48</v>
      </c>
      <c r="B52" s="50" t="inlineStr">
        <is>
          <t>Projects</t>
        </is>
      </c>
      <c r="C52" s="50" t="inlineStr">
        <is>
          <t>/projects</t>
        </is>
      </c>
      <c r="D52" s="55" t="inlineStr">
        <is>
          <t>CLICK</t>
        </is>
      </c>
      <c r="E52" s="50" t="inlineStr">
        <is>
          <t>Add BOQ Items</t>
        </is>
      </c>
      <c r="F52" s="52" t="inlineStr"/>
      <c r="G52" s="52" t="inlineStr">
        <is>
          <t>BOQ line items</t>
        </is>
      </c>
      <c r="H52" s="50" t="inlineStr"/>
      <c r="I52" s="53" t="inlineStr"/>
      <c r="J52" s="50" t="inlineStr"/>
    </row>
    <row r="53" ht="18" customHeight="1">
      <c r="A53" s="47" t="n">
        <v>49</v>
      </c>
      <c r="B53" s="50" t="inlineStr">
        <is>
          <t>Projects</t>
        </is>
      </c>
      <c r="C53" s="50" t="inlineStr">
        <is>
          <t>/projects</t>
        </is>
      </c>
      <c r="D53" s="56" t="inlineStr">
        <is>
          <t>ENTER</t>
        </is>
      </c>
      <c r="E53" s="50" t="inlineStr">
        <is>
          <t>BOQ: Necklace Set DS-NK-001</t>
        </is>
      </c>
      <c r="F53" s="52" t="inlineStr">
        <is>
          <t>₹1,40,000</t>
        </is>
      </c>
      <c r="G53" s="52" t="inlineStr"/>
      <c r="H53" s="50" t="inlineStr"/>
      <c r="I53" s="53" t="inlineStr"/>
      <c r="J53" s="50" t="inlineStr"/>
    </row>
    <row r="54" ht="18" customHeight="1">
      <c r="A54" s="47" t="n">
        <v>50</v>
      </c>
      <c r="B54" s="50" t="inlineStr">
        <is>
          <t>Projects</t>
        </is>
      </c>
      <c r="C54" s="50" t="inlineStr">
        <is>
          <t>/projects</t>
        </is>
      </c>
      <c r="D54" s="56" t="inlineStr">
        <is>
          <t>ENTER</t>
        </is>
      </c>
      <c r="E54" s="50" t="inlineStr">
        <is>
          <t>BOQ: Earring Pair</t>
        </is>
      </c>
      <c r="F54" s="52" t="inlineStr">
        <is>
          <t>₹53,540</t>
        </is>
      </c>
      <c r="G54" s="52" t="inlineStr"/>
      <c r="H54" s="50" t="inlineStr"/>
      <c r="I54" s="53" t="inlineStr"/>
      <c r="J54" s="50" t="inlineStr"/>
    </row>
    <row r="55" ht="18" customHeight="1">
      <c r="A55" s="47" t="n">
        <v>51</v>
      </c>
      <c r="B55" s="50" t="inlineStr">
        <is>
          <t>Projects</t>
        </is>
      </c>
      <c r="C55" s="50" t="inlineStr">
        <is>
          <t>/projects</t>
        </is>
      </c>
      <c r="D55" s="55" t="inlineStr">
        <is>
          <t>CLICK</t>
        </is>
      </c>
      <c r="E55" s="50" t="inlineStr">
        <is>
          <t>Add Milestones</t>
        </is>
      </c>
      <c r="F55" s="52" t="inlineStr"/>
      <c r="G55" s="52" t="inlineStr">
        <is>
          <t>Payment milestones</t>
        </is>
      </c>
      <c r="H55" s="50" t="inlineStr"/>
      <c r="I55" s="53" t="inlineStr"/>
      <c r="J55" s="50" t="inlineStr"/>
    </row>
    <row r="56" ht="18" customHeight="1">
      <c r="A56" s="47" t="n">
        <v>52</v>
      </c>
      <c r="B56" s="50" t="inlineStr">
        <is>
          <t>Projects</t>
        </is>
      </c>
      <c r="C56" s="50" t="inlineStr">
        <is>
          <t>/projects</t>
        </is>
      </c>
      <c r="D56" s="56" t="inlineStr">
        <is>
          <t>ENTER</t>
        </is>
      </c>
      <c r="E56" s="50" t="inlineStr">
        <is>
          <t>Milestone 1</t>
        </is>
      </c>
      <c r="F56" s="52" t="inlineStr">
        <is>
          <t>50% advance on order — ₹96,770</t>
        </is>
      </c>
      <c r="G56" s="52" t="inlineStr"/>
      <c r="H56" s="50" t="inlineStr"/>
      <c r="I56" s="53" t="inlineStr"/>
      <c r="J56" s="50" t="inlineStr"/>
    </row>
    <row r="57" ht="18" customHeight="1">
      <c r="A57" s="47" t="n">
        <v>53</v>
      </c>
      <c r="B57" s="50" t="inlineStr">
        <is>
          <t>Projects</t>
        </is>
      </c>
      <c r="C57" s="50" t="inlineStr">
        <is>
          <t>/projects</t>
        </is>
      </c>
      <c r="D57" s="56" t="inlineStr">
        <is>
          <t>ENTER</t>
        </is>
      </c>
      <c r="E57" s="50" t="inlineStr">
        <is>
          <t>Milestone 2</t>
        </is>
      </c>
      <c r="F57" s="52" t="inlineStr">
        <is>
          <t>50% on delivery — ₹96,770</t>
        </is>
      </c>
      <c r="G57" s="52" t="inlineStr"/>
      <c r="H57" s="50" t="inlineStr"/>
      <c r="I57" s="53" t="inlineStr"/>
      <c r="J57" s="50" t="inlineStr"/>
    </row>
    <row r="58" ht="18" customHeight="1">
      <c r="A58" s="47" t="n">
        <v>54</v>
      </c>
      <c r="B58" s="50" t="inlineStr">
        <is>
          <t>Projects</t>
        </is>
      </c>
      <c r="C58" s="50" t="inlineStr">
        <is>
          <t>/projects</t>
        </is>
      </c>
      <c r="D58" s="55" t="inlineStr">
        <is>
          <t>CLICK</t>
        </is>
      </c>
      <c r="E58" s="50" t="inlineStr">
        <is>
          <t>Trigger Milestone 1 Invoice</t>
        </is>
      </c>
      <c r="F58" s="52" t="inlineStr"/>
      <c r="G58" s="52" t="inlineStr">
        <is>
          <t>Invoice for ₹96,770 created</t>
        </is>
      </c>
      <c r="H58" s="50" t="inlineStr"/>
      <c r="I58" s="53" t="inlineStr"/>
      <c r="J58" s="50" t="inlineStr"/>
    </row>
    <row r="59" ht="18" customHeight="1">
      <c r="A59" s="47" t="n">
        <v>55</v>
      </c>
      <c r="B59" s="50" t="inlineStr">
        <is>
          <t>Projects</t>
        </is>
      </c>
      <c r="C59" s="50" t="inlineStr">
        <is>
          <t>/projects</t>
        </is>
      </c>
      <c r="D59" s="51" t="inlineStr">
        <is>
          <t>ASSERT</t>
        </is>
      </c>
      <c r="E59" s="50" t="inlineStr">
        <is>
          <t>Invoice linked to project</t>
        </is>
      </c>
      <c r="F59" s="52" t="inlineStr">
        <is>
          <t>INV linked to Vijay Kumar project</t>
        </is>
      </c>
      <c r="G59" s="57" t="inlineStr"/>
      <c r="H59" s="50" t="inlineStr"/>
      <c r="I59" s="53" t="inlineStr"/>
      <c r="J59" s="50" t="inlineStr"/>
    </row>
    <row r="60" ht="16" customHeight="1">
      <c r="A60" s="70" t="inlineStr">
        <is>
          <t xml:space="preserve">  ▸  — RECURRING INVOICE —</t>
        </is>
      </c>
    </row>
    <row r="61" ht="18" customHeight="1">
      <c r="A61" s="47" t="n">
        <v>57</v>
      </c>
      <c r="B61" s="50" t="inlineStr">
        <is>
          <t>Projects</t>
        </is>
      </c>
      <c r="C61" s="50" t="inlineStr">
        <is>
          <t>/recurring-invoices</t>
        </is>
      </c>
      <c r="D61" s="54" t="inlineStr">
        <is>
          <t>NAVIGATE</t>
        </is>
      </c>
      <c r="E61" s="50" t="inlineStr"/>
      <c r="F61" s="52" t="inlineStr"/>
      <c r="G61" s="52" t="inlineStr">
        <is>
          <t>Recurring invoices</t>
        </is>
      </c>
      <c r="H61" s="50" t="inlineStr"/>
      <c r="I61" s="53" t="inlineStr"/>
      <c r="J61" s="50" t="inlineStr"/>
    </row>
    <row r="62" ht="18" customHeight="1">
      <c r="A62" s="47" t="n">
        <v>58</v>
      </c>
      <c r="B62" s="50" t="inlineStr">
        <is>
          <t>Projects</t>
        </is>
      </c>
      <c r="C62" s="50" t="inlineStr">
        <is>
          <t>/recurring-invoices</t>
        </is>
      </c>
      <c r="D62" s="55" t="inlineStr">
        <is>
          <t>CLICK</t>
        </is>
      </c>
      <c r="E62" s="50" t="inlineStr">
        <is>
          <t>+ New Recurring Invoice</t>
        </is>
      </c>
      <c r="F62" s="52" t="inlineStr"/>
      <c r="G62" s="52" t="inlineStr"/>
      <c r="H62" s="50" t="inlineStr"/>
      <c r="I62" s="53" t="inlineStr"/>
      <c r="J62" s="50" t="inlineStr"/>
    </row>
    <row r="63" ht="18" customHeight="1">
      <c r="A63" s="47" t="n">
        <v>59</v>
      </c>
      <c r="B63" s="50" t="inlineStr">
        <is>
          <t>Projects</t>
        </is>
      </c>
      <c r="C63" s="50" t="inlineStr">
        <is>
          <t>/recurring-invoices</t>
        </is>
      </c>
      <c r="D63" s="56" t="inlineStr">
        <is>
          <t>ENTER</t>
        </is>
      </c>
      <c r="E63" s="50" t="inlineStr">
        <is>
          <t>Customer</t>
        </is>
      </c>
      <c r="F63" s="52" t="inlineStr">
        <is>
          <t>Priya Jewellers</t>
        </is>
      </c>
      <c r="G63" s="52" t="inlineStr"/>
      <c r="H63" s="50" t="inlineStr"/>
      <c r="I63" s="53" t="inlineStr"/>
      <c r="J63" s="50" t="inlineStr"/>
    </row>
    <row r="64" ht="18" customHeight="1">
      <c r="A64" s="47" t="n">
        <v>60</v>
      </c>
      <c r="B64" s="50" t="inlineStr">
        <is>
          <t>Projects</t>
        </is>
      </c>
      <c r="C64" s="50" t="inlineStr">
        <is>
          <t>/recurring-invoices</t>
        </is>
      </c>
      <c r="D64" s="56" t="inlineStr">
        <is>
          <t>ENTER</t>
        </is>
      </c>
      <c r="E64" s="50" t="inlineStr">
        <is>
          <t>Description</t>
        </is>
      </c>
      <c r="F64" s="52" t="inlineStr">
        <is>
          <t>Monthly maintenance / support charges</t>
        </is>
      </c>
      <c r="G64" s="52" t="inlineStr"/>
      <c r="H64" s="50" t="inlineStr"/>
      <c r="I64" s="53" t="inlineStr"/>
      <c r="J64" s="50" t="inlineStr"/>
    </row>
    <row r="65" ht="18" customHeight="1">
      <c r="A65" s="47" t="n">
        <v>61</v>
      </c>
      <c r="B65" s="50" t="inlineStr">
        <is>
          <t>Projects</t>
        </is>
      </c>
      <c r="C65" s="50" t="inlineStr">
        <is>
          <t>/recurring-invoices</t>
        </is>
      </c>
      <c r="D65" s="56" t="inlineStr">
        <is>
          <t>ENTER</t>
        </is>
      </c>
      <c r="E65" s="50" t="inlineStr">
        <is>
          <t>Amount</t>
        </is>
      </c>
      <c r="F65" s="52" t="inlineStr">
        <is>
          <t>₹5,000</t>
        </is>
      </c>
      <c r="G65" s="52" t="inlineStr"/>
      <c r="H65" s="50" t="inlineStr"/>
      <c r="I65" s="53" t="inlineStr"/>
      <c r="J65" s="50" t="inlineStr"/>
    </row>
    <row r="66" ht="18" customHeight="1">
      <c r="A66" s="47" t="n">
        <v>62</v>
      </c>
      <c r="B66" s="50" t="inlineStr">
        <is>
          <t>Projects</t>
        </is>
      </c>
      <c r="C66" s="50" t="inlineStr">
        <is>
          <t>/recurring-invoices</t>
        </is>
      </c>
      <c r="D66" s="56" t="inlineStr">
        <is>
          <t>ENTER</t>
        </is>
      </c>
      <c r="E66" s="50" t="inlineStr">
        <is>
          <t>Frequency</t>
        </is>
      </c>
      <c r="F66" s="52" t="inlineStr">
        <is>
          <t>Monthly</t>
        </is>
      </c>
      <c r="G66" s="52" t="inlineStr"/>
      <c r="H66" s="50" t="inlineStr"/>
      <c r="I66" s="53" t="inlineStr"/>
      <c r="J66" s="50" t="inlineStr"/>
    </row>
    <row r="67" ht="18" customHeight="1">
      <c r="A67" s="47" t="n">
        <v>63</v>
      </c>
      <c r="B67" s="50" t="inlineStr">
        <is>
          <t>Projects</t>
        </is>
      </c>
      <c r="C67" s="50" t="inlineStr">
        <is>
          <t>/recurring-invoices</t>
        </is>
      </c>
      <c r="D67" s="56" t="inlineStr">
        <is>
          <t>ENTER</t>
        </is>
      </c>
      <c r="E67" s="50" t="inlineStr">
        <is>
          <t>Start Date</t>
        </is>
      </c>
      <c r="F67" s="52" t="inlineStr">
        <is>
          <t>01-Feb-2024</t>
        </is>
      </c>
      <c r="G67" s="52" t="inlineStr"/>
      <c r="H67" s="50" t="inlineStr"/>
      <c r="I67" s="53" t="inlineStr"/>
      <c r="J67" s="50" t="inlineStr"/>
    </row>
    <row r="68" ht="18" customHeight="1">
      <c r="A68" s="47" t="n">
        <v>64</v>
      </c>
      <c r="B68" s="50" t="inlineStr">
        <is>
          <t>Projects</t>
        </is>
      </c>
      <c r="C68" s="50" t="inlineStr">
        <is>
          <t>/recurring-invoices</t>
        </is>
      </c>
      <c r="D68" s="55" t="inlineStr">
        <is>
          <t>CLICK</t>
        </is>
      </c>
      <c r="E68" s="50" t="inlineStr">
        <is>
          <t>Save</t>
        </is>
      </c>
      <c r="F68" s="52" t="inlineStr"/>
      <c r="G68" s="52" t="inlineStr">
        <is>
          <t>Recurring schedule created</t>
        </is>
      </c>
      <c r="H68" s="50" t="inlineStr"/>
      <c r="I68" s="53" t="inlineStr"/>
      <c r="J68" s="50" t="inlineStr"/>
    </row>
    <row r="69" ht="18" customHeight="1">
      <c r="A69" s="47" t="n">
        <v>65</v>
      </c>
      <c r="B69" s="50" t="inlineStr">
        <is>
          <t>Projects</t>
        </is>
      </c>
      <c r="C69" s="50" t="inlineStr">
        <is>
          <t>/recurring-invoices</t>
        </is>
      </c>
      <c r="D69" s="51" t="inlineStr">
        <is>
          <t>ASSERT</t>
        </is>
      </c>
      <c r="E69" s="50" t="inlineStr">
        <is>
          <t>Next invoice date</t>
        </is>
      </c>
      <c r="F69" s="52" t="inlineStr">
        <is>
          <t>01-Feb-2024</t>
        </is>
      </c>
      <c r="G69" s="57" t="inlineStr">
        <is>
          <t>Auto-generates on schedule</t>
        </is>
      </c>
      <c r="H69" s="50" t="inlineStr"/>
      <c r="I69" s="53" t="inlineStr"/>
      <c r="J69" s="50" t="inlineStr"/>
    </row>
    <row r="70" ht="18" customHeight="1">
      <c r="A70" s="47" t="n">
        <v>66</v>
      </c>
      <c r="B70" s="50" t="inlineStr">
        <is>
          <t>Projects</t>
        </is>
      </c>
      <c r="C70" s="50" t="inlineStr">
        <is>
          <t>/recurring-invoices</t>
        </is>
      </c>
      <c r="D70" s="55" t="inlineStr">
        <is>
          <t>CLICK</t>
        </is>
      </c>
      <c r="E70" s="50" t="inlineStr">
        <is>
          <t>Generate Now (test)</t>
        </is>
      </c>
      <c r="F70" s="52" t="inlineStr"/>
      <c r="G70" s="52" t="inlineStr">
        <is>
          <t>Invoice created immediately for testing</t>
        </is>
      </c>
      <c r="H70" s="50" t="inlineStr"/>
      <c r="I70" s="53" t="inlineStr"/>
      <c r="J70" s="50" t="inlineStr"/>
    </row>
    <row r="71" ht="18" customHeight="1">
      <c r="A71" s="47" t="n">
        <v>67</v>
      </c>
      <c r="B71" s="50" t="inlineStr">
        <is>
          <t>Projects</t>
        </is>
      </c>
      <c r="C71" s="50" t="inlineStr">
        <is>
          <t>/recurring-invoices</t>
        </is>
      </c>
      <c r="D71" s="51" t="inlineStr">
        <is>
          <t>ASSERT</t>
        </is>
      </c>
      <c r="E71" s="50" t="inlineStr">
        <is>
          <t>Invoice created</t>
        </is>
      </c>
      <c r="F71" s="52" t="inlineStr">
        <is>
          <t>INV-REC-001 — Priya Jewellers ₹5,000</t>
        </is>
      </c>
      <c r="G71" s="57" t="inlineStr"/>
      <c r="H71" s="50" t="inlineStr"/>
      <c r="I71" s="53" t="inlineStr"/>
      <c r="J71" s="50" t="inlineStr"/>
    </row>
  </sheetData>
  <mergeCells count="8">
    <mergeCell ref="A47:J47"/>
    <mergeCell ref="A1:J1"/>
    <mergeCell ref="A6:J6"/>
    <mergeCell ref="A27:J27"/>
    <mergeCell ref="A15:J15"/>
    <mergeCell ref="A38:J38"/>
    <mergeCell ref="A2:J2"/>
    <mergeCell ref="A60:J6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24" customWidth="1" min="5" max="5"/>
    <col width="34" customWidth="1" min="6" max="6"/>
    <col width="38" customWidth="1" min="7" max="7"/>
    <col width="24" customWidth="1" min="8" max="8"/>
    <col width="10" customWidth="1" min="9" max="9"/>
    <col width="22" customWidth="1" min="10" max="10"/>
  </cols>
  <sheetData>
    <row r="1" ht="28" customHeight="1">
      <c r="A1" s="45" t="inlineStr">
        <is>
          <t>FLOW 27: Security Admin — MFA, IP Allowlist, Session Revoke, Lockout, Audit Trail</t>
        </is>
      </c>
    </row>
    <row r="2" ht="16" customHeight="1">
      <c r="A2" s="46" t="inlineStr">
        <is>
          <t>MFA enrolment + enforce → account lockout after 5 failures → admin unlock → IP allowlist setup + block test → session revocation → audit trail export → verify immutability</t>
        </is>
      </c>
    </row>
    <row r="3" ht="18" customHeight="1">
      <c r="A3" s="47" t="inlineStr">
        <is>
          <t>Flow</t>
        </is>
      </c>
      <c r="B3" s="48" t="inlineStr">
        <is>
          <t>F27</t>
        </is>
      </c>
      <c r="C3" s="47" t="inlineStr">
        <is>
          <t>Steps</t>
        </is>
      </c>
      <c r="D3" s="48" t="n">
        <v>51</v>
      </c>
      <c r="E3" s="47" t="inlineStr">
        <is>
          <t>Passed</t>
        </is>
      </c>
      <c r="F3" s="48">
        <f>COUNTIF(I5:I200,"PASS")</f>
        <v/>
      </c>
      <c r="G3" s="47" t="inlineStr">
        <is>
          <t>Failed</t>
        </is>
      </c>
      <c r="H3" s="48">
        <f>COUNTIF(I5:I200,"FAIL")</f>
        <v/>
      </c>
      <c r="I3" s="47" t="inlineStr">
        <is>
          <t>Pass %</t>
        </is>
      </c>
      <c r="J3" s="48">
        <f>IFERROR(TEXT(COUNTIF(I5:I200,"PASS")/COUNTA(I5:I200),"0%"),"—")</f>
        <v/>
      </c>
    </row>
    <row r="4" ht="20" customHeight="1">
      <c r="A4" s="49" t="inlineStr">
        <is>
          <t>#</t>
        </is>
      </c>
      <c r="B4" s="49" t="inlineStr">
        <is>
          <t>Screen</t>
        </is>
      </c>
      <c r="C4" s="49" t="inlineStr">
        <is>
          <t>URL / Path</t>
        </is>
      </c>
      <c r="D4" s="49" t="inlineStr">
        <is>
          <t>Action</t>
        </is>
      </c>
      <c r="E4" s="49" t="inlineStr">
        <is>
          <t>Field / Element</t>
        </is>
      </c>
      <c r="F4" s="49" t="inlineStr">
        <is>
          <t>Mock Data / Input</t>
        </is>
      </c>
      <c r="G4" s="49" t="inlineStr">
        <is>
          <t>Expected Result</t>
        </is>
      </c>
      <c r="H4" s="49" t="inlineStr">
        <is>
          <t>Actual Result</t>
        </is>
      </c>
      <c r="I4" s="49" t="inlineStr">
        <is>
          <t>Pass/Fail</t>
        </is>
      </c>
      <c r="J4" s="49" t="inlineStr">
        <is>
          <t>Notes</t>
        </is>
      </c>
    </row>
    <row r="5" ht="18" customHeight="1">
      <c r="A5" s="47" t="n">
        <v>1</v>
      </c>
      <c r="B5" s="50" t="inlineStr"/>
      <c r="C5" s="50" t="inlineStr"/>
      <c r="D5" s="58" t="inlineStr">
        <is>
          <t>NOTE</t>
        </is>
      </c>
      <c r="E5" s="50" t="inlineStr">
        <is>
          <t>This flow tests all Security Dashboard features: MFA enrolment, IP allowlist, session management, audit trail, account lockout, password policy. Run as admin user.</t>
        </is>
      </c>
      <c r="F5" s="52" t="inlineStr"/>
      <c r="G5" s="52" t="inlineStr"/>
      <c r="H5" s="50" t="inlineStr"/>
      <c r="I5" s="53" t="inlineStr"/>
      <c r="J5" s="50" t="inlineStr"/>
    </row>
    <row r="6" ht="18" customHeight="1">
      <c r="A6" s="47" t="n">
        <v>2</v>
      </c>
      <c r="B6" s="50" t="inlineStr">
        <is>
          <t>Security — Tenant</t>
        </is>
      </c>
      <c r="C6" s="50" t="inlineStr">
        <is>
          <t>/security-dashboard</t>
        </is>
      </c>
      <c r="D6" s="54" t="inlineStr">
        <is>
          <t>NAVIGATE</t>
        </is>
      </c>
      <c r="E6" s="50" t="inlineStr"/>
      <c r="F6" s="52" t="inlineStr"/>
      <c r="G6" s="52" t="inlineStr">
        <is>
          <t>Tenant security dashboard</t>
        </is>
      </c>
      <c r="H6" s="50" t="inlineStr"/>
      <c r="I6" s="53" t="inlineStr"/>
      <c r="J6" s="50" t="inlineStr"/>
    </row>
    <row r="7" ht="32" customHeight="1">
      <c r="A7" s="47" t="n">
        <v>3</v>
      </c>
      <c r="B7" s="50" t="inlineStr">
        <is>
          <t>Security — Tenant</t>
        </is>
      </c>
      <c r="C7" s="50" t="inlineStr">
        <is>
          <t>/security-dashboard</t>
        </is>
      </c>
      <c r="D7" s="51" t="inlineStr">
        <is>
          <t>ASSERT</t>
        </is>
      </c>
      <c r="E7" s="50" t="inlineStr">
        <is>
          <t>4 tabs visible</t>
        </is>
      </c>
      <c r="F7" s="52" t="inlineStr">
        <is>
          <t>Active Sessions | Security Events | MFA Management | IP Allowlist</t>
        </is>
      </c>
      <c r="G7" s="57" t="inlineStr"/>
      <c r="H7" s="50" t="inlineStr"/>
      <c r="I7" s="53" t="inlineStr"/>
      <c r="J7" s="50" t="inlineStr"/>
    </row>
    <row r="8" ht="16" customHeight="1">
      <c r="A8" s="70" t="inlineStr">
        <is>
          <t xml:space="preserve">  ▸  — MFA ENROLMENT + ENFORCEMENT —</t>
        </is>
      </c>
    </row>
    <row r="9" ht="18" customHeight="1">
      <c r="A9" s="47" t="n">
        <v>5</v>
      </c>
      <c r="B9" s="50" t="inlineStr">
        <is>
          <t>Security — Tenant</t>
        </is>
      </c>
      <c r="C9" s="50" t="inlineStr">
        <is>
          <t>/security-dashboard</t>
        </is>
      </c>
      <c r="D9" s="55" t="inlineStr">
        <is>
          <t>CLICK</t>
        </is>
      </c>
      <c r="E9" s="50" t="inlineStr">
        <is>
          <t>MFA Management tab</t>
        </is>
      </c>
      <c r="F9" s="52" t="inlineStr"/>
      <c r="G9" s="52" t="inlineStr">
        <is>
          <t>MFA screen</t>
        </is>
      </c>
      <c r="H9" s="50" t="inlineStr"/>
      <c r="I9" s="53" t="inlineStr"/>
      <c r="J9" s="50" t="inlineStr"/>
    </row>
    <row r="10" ht="18" customHeight="1">
      <c r="A10" s="47" t="n">
        <v>6</v>
      </c>
      <c r="B10" s="50" t="inlineStr">
        <is>
          <t>Security — Tenant</t>
        </is>
      </c>
      <c r="C10" s="50" t="inlineStr">
        <is>
          <t>/security-dashboard</t>
        </is>
      </c>
      <c r="D10" s="55" t="inlineStr">
        <is>
          <t>CLICK</t>
        </is>
      </c>
      <c r="E10" s="50" t="inlineStr">
        <is>
          <t>Enrol My TOTP</t>
        </is>
      </c>
      <c r="F10" s="52" t="inlineStr"/>
      <c r="G10" s="52" t="inlineStr">
        <is>
          <t>QR code displayed</t>
        </is>
      </c>
      <c r="H10" s="50" t="inlineStr"/>
      <c r="I10" s="53" t="inlineStr"/>
      <c r="J10" s="50" t="inlineStr"/>
    </row>
    <row r="11" ht="18" customHeight="1">
      <c r="A11" s="47" t="n">
        <v>7</v>
      </c>
      <c r="B11" s="50" t="inlineStr">
        <is>
          <t>Security — Tenant</t>
        </is>
      </c>
      <c r="C11" s="50" t="inlineStr">
        <is>
          <t>/security-dashboard</t>
        </is>
      </c>
      <c r="D11" s="56" t="inlineStr">
        <is>
          <t>ENTER</t>
        </is>
      </c>
      <c r="E11" s="50" t="inlineStr">
        <is>
          <t>Scan QR with Google Authenticator</t>
        </is>
      </c>
      <c r="F11" s="52" t="inlineStr">
        <is>
          <t>(scan QR on phone)</t>
        </is>
      </c>
      <c r="G11" s="52" t="inlineStr">
        <is>
          <t>TOTP app configured</t>
        </is>
      </c>
      <c r="H11" s="50" t="inlineStr"/>
      <c r="I11" s="53" t="inlineStr"/>
      <c r="J11" s="50" t="inlineStr"/>
    </row>
    <row r="12" ht="18" customHeight="1">
      <c r="A12" s="47" t="n">
        <v>8</v>
      </c>
      <c r="B12" s="50" t="inlineStr">
        <is>
          <t>Security — Tenant</t>
        </is>
      </c>
      <c r="C12" s="50" t="inlineStr">
        <is>
          <t>/security-dashboard</t>
        </is>
      </c>
      <c r="D12" s="56" t="inlineStr">
        <is>
          <t>ENTER</t>
        </is>
      </c>
      <c r="E12" s="50" t="inlineStr">
        <is>
          <t>Verify 6-digit code</t>
        </is>
      </c>
      <c r="F12" s="52" t="inlineStr">
        <is>
          <t>123456 (from authenticator)</t>
        </is>
      </c>
      <c r="G12" s="52" t="inlineStr">
        <is>
          <t>Live code from app</t>
        </is>
      </c>
      <c r="H12" s="50" t="inlineStr"/>
      <c r="I12" s="53" t="inlineStr"/>
      <c r="J12" s="50" t="inlineStr"/>
    </row>
    <row r="13" ht="18" customHeight="1">
      <c r="A13" s="47" t="n">
        <v>9</v>
      </c>
      <c r="B13" s="50" t="inlineStr">
        <is>
          <t>Security — Tenant</t>
        </is>
      </c>
      <c r="C13" s="50" t="inlineStr">
        <is>
          <t>/security-dashboard</t>
        </is>
      </c>
      <c r="D13" s="51" t="inlineStr">
        <is>
          <t>ASSERT</t>
        </is>
      </c>
      <c r="E13" s="50" t="inlineStr">
        <is>
          <t>MFA enabled</t>
        </is>
      </c>
      <c r="F13" s="52" t="inlineStr">
        <is>
          <t>✅ TOTP enabled for admin</t>
        </is>
      </c>
      <c r="G13" s="57" t="inlineStr"/>
      <c r="H13" s="50" t="inlineStr"/>
      <c r="I13" s="53" t="inlineStr"/>
      <c r="J13" s="50" t="inlineStr"/>
    </row>
    <row r="14" ht="18" customHeight="1">
      <c r="A14" s="47" t="n">
        <v>10</v>
      </c>
      <c r="B14" s="50" t="inlineStr">
        <is>
          <t>Security — Tenant</t>
        </is>
      </c>
      <c r="C14" s="50" t="inlineStr">
        <is>
          <t>/security-dashboard</t>
        </is>
      </c>
      <c r="D14" s="51" t="inlineStr">
        <is>
          <t>ASSERT</t>
        </is>
      </c>
      <c r="E14" s="50" t="inlineStr">
        <is>
          <t>8 backup codes displayed</t>
        </is>
      </c>
      <c r="F14" s="52" t="inlineStr">
        <is>
          <t>Download and store securely</t>
        </is>
      </c>
      <c r="G14" s="57" t="inlineStr">
        <is>
          <t>Single-use codes</t>
        </is>
      </c>
      <c r="H14" s="50" t="inlineStr"/>
      <c r="I14" s="53" t="inlineStr"/>
      <c r="J14" s="50" t="inlineStr"/>
    </row>
    <row r="15" ht="18" customHeight="1">
      <c r="A15" s="47" t="n">
        <v>11</v>
      </c>
      <c r="B15" s="50" t="inlineStr">
        <is>
          <t>Security — Tenant</t>
        </is>
      </c>
      <c r="C15" s="50" t="inlineStr">
        <is>
          <t>/security-dashboard</t>
        </is>
      </c>
      <c r="D15" s="55" t="inlineStr">
        <is>
          <t>CLICK</t>
        </is>
      </c>
      <c r="E15" s="50" t="inlineStr">
        <is>
          <t>Enforce MFA — Prakash Kumar</t>
        </is>
      </c>
      <c r="F15" s="52" t="inlineStr"/>
      <c r="G15" s="52" t="inlineStr">
        <is>
          <t>Admin enforces MFA on another user</t>
        </is>
      </c>
      <c r="H15" s="50" t="inlineStr"/>
      <c r="I15" s="53" t="inlineStr"/>
      <c r="J15" s="50" t="inlineStr"/>
    </row>
    <row r="16" ht="18" customHeight="1">
      <c r="A16" s="47" t="n">
        <v>12</v>
      </c>
      <c r="B16" s="50" t="inlineStr">
        <is>
          <t>Security — Tenant</t>
        </is>
      </c>
      <c r="C16" s="50" t="inlineStr">
        <is>
          <t>/security-dashboard</t>
        </is>
      </c>
      <c r="D16" s="51" t="inlineStr">
        <is>
          <t>ASSERT</t>
        </is>
      </c>
      <c r="E16" s="50" t="inlineStr">
        <is>
          <t>Prakash MFA status</t>
        </is>
      </c>
      <c r="F16" s="52" t="inlineStr">
        <is>
          <t>Enforced — cannot disable</t>
        </is>
      </c>
      <c r="G16" s="57" t="inlineStr"/>
      <c r="H16" s="50" t="inlineStr"/>
      <c r="I16" s="53" t="inlineStr"/>
      <c r="J16" s="50" t="inlineStr"/>
    </row>
    <row r="17" ht="18" customHeight="1">
      <c r="A17" s="47" t="n">
        <v>13</v>
      </c>
      <c r="B17" s="50" t="inlineStr">
        <is>
          <t>Security — Tenant</t>
        </is>
      </c>
      <c r="C17" s="50" t="inlineStr">
        <is>
          <t>/security-dashboard</t>
        </is>
      </c>
      <c r="D17" s="51" t="inlineStr">
        <is>
          <t>ASSERT</t>
        </is>
      </c>
      <c r="E17" s="50" t="inlineStr">
        <is>
          <t>Prakash login flow</t>
        </is>
      </c>
      <c r="F17" s="52" t="inlineStr">
        <is>
          <t>After password → MFA code required</t>
        </is>
      </c>
      <c r="G17" s="57" t="inlineStr">
        <is>
          <t>Cannot skip MFA</t>
        </is>
      </c>
      <c r="H17" s="50" t="inlineStr"/>
      <c r="I17" s="53" t="inlineStr"/>
      <c r="J17" s="50" t="inlineStr"/>
    </row>
    <row r="18" ht="16" customHeight="1">
      <c r="A18" s="70" t="inlineStr">
        <is>
          <t xml:space="preserve">  ▸  — ACCOUNT LOCKOUT TEST —</t>
        </is>
      </c>
    </row>
    <row r="19" ht="18" customHeight="1">
      <c r="A19" s="47" t="n">
        <v>15</v>
      </c>
      <c r="B19" s="50" t="inlineStr">
        <is>
          <t>Security — Tenant</t>
        </is>
      </c>
      <c r="C19" s="50" t="inlineStr">
        <is>
          <t>/security-dashboard</t>
        </is>
      </c>
      <c r="D19" s="54" t="inlineStr">
        <is>
          <t>NAVIGATE</t>
        </is>
      </c>
      <c r="E19" s="50" t="inlineStr"/>
      <c r="F19" s="52" t="inlineStr"/>
      <c r="G19" s="52" t="inlineStr">
        <is>
          <t>Login page (incognito)</t>
        </is>
      </c>
      <c r="H19" s="50" t="inlineStr"/>
      <c r="I19" s="53" t="inlineStr"/>
      <c r="J19" s="50" t="inlineStr"/>
    </row>
    <row r="20" ht="18" customHeight="1">
      <c r="A20" s="47" t="n">
        <v>16</v>
      </c>
      <c r="B20" s="50" t="inlineStr">
        <is>
          <t>Security — Tenant</t>
        </is>
      </c>
      <c r="C20" s="50" t="inlineStr">
        <is>
          <t>/security-dashboard</t>
        </is>
      </c>
      <c r="D20" s="56" t="inlineStr">
        <is>
          <t>ENTER</t>
        </is>
      </c>
      <c r="E20" s="50" t="inlineStr">
        <is>
          <t>Username</t>
        </is>
      </c>
      <c r="F20" s="52" t="inlineStr">
        <is>
          <t>prakash@swacherp.com</t>
        </is>
      </c>
      <c r="G20" s="52" t="inlineStr"/>
      <c r="H20" s="50" t="inlineStr"/>
      <c r="I20" s="53" t="inlineStr"/>
      <c r="J20" s="50" t="inlineStr"/>
    </row>
    <row r="21" ht="18" customHeight="1">
      <c r="A21" s="47" t="n">
        <v>17</v>
      </c>
      <c r="B21" s="50" t="inlineStr">
        <is>
          <t>Security — Tenant</t>
        </is>
      </c>
      <c r="C21" s="50" t="inlineStr">
        <is>
          <t>/security-dashboard</t>
        </is>
      </c>
      <c r="D21" s="59" t="inlineStr">
        <is>
          <t>NEGATIVE</t>
        </is>
      </c>
      <c r="E21" s="50" t="inlineStr">
        <is>
          <t>Wrong password attempt 1</t>
        </is>
      </c>
      <c r="F21" s="52" t="inlineStr">
        <is>
          <t>wrongpass1</t>
        </is>
      </c>
      <c r="G21" s="52" t="inlineStr"/>
      <c r="H21" s="50" t="inlineStr"/>
      <c r="I21" s="53" t="inlineStr"/>
      <c r="J21" s="50" t="inlineStr"/>
    </row>
    <row r="22" ht="18" customHeight="1">
      <c r="A22" s="47" t="n">
        <v>18</v>
      </c>
      <c r="B22" s="50" t="inlineStr">
        <is>
          <t>Security — Tenant</t>
        </is>
      </c>
      <c r="C22" s="50" t="inlineStr">
        <is>
          <t>/security-dashboard</t>
        </is>
      </c>
      <c r="D22" s="59" t="inlineStr">
        <is>
          <t>NEGATIVE</t>
        </is>
      </c>
      <c r="E22" s="50" t="inlineStr">
        <is>
          <t>Wrong password attempt 2</t>
        </is>
      </c>
      <c r="F22" s="52" t="inlineStr">
        <is>
          <t>wrongpass2</t>
        </is>
      </c>
      <c r="G22" s="52" t="inlineStr"/>
      <c r="H22" s="50" t="inlineStr"/>
      <c r="I22" s="53" t="inlineStr"/>
      <c r="J22" s="50" t="inlineStr"/>
    </row>
    <row r="23" ht="18" customHeight="1">
      <c r="A23" s="47" t="n">
        <v>19</v>
      </c>
      <c r="B23" s="50" t="inlineStr">
        <is>
          <t>Security — Tenant</t>
        </is>
      </c>
      <c r="C23" s="50" t="inlineStr">
        <is>
          <t>/security-dashboard</t>
        </is>
      </c>
      <c r="D23" s="59" t="inlineStr">
        <is>
          <t>NEGATIVE</t>
        </is>
      </c>
      <c r="E23" s="50" t="inlineStr">
        <is>
          <t>Wrong password attempt 3</t>
        </is>
      </c>
      <c r="F23" s="52" t="inlineStr">
        <is>
          <t>wrongpass3</t>
        </is>
      </c>
      <c r="G23" s="52" t="inlineStr"/>
      <c r="H23" s="50" t="inlineStr"/>
      <c r="I23" s="53" t="inlineStr"/>
      <c r="J23" s="50" t="inlineStr"/>
    </row>
    <row r="24" ht="18" customHeight="1">
      <c r="A24" s="47" t="n">
        <v>20</v>
      </c>
      <c r="B24" s="50" t="inlineStr">
        <is>
          <t>Security — Tenant</t>
        </is>
      </c>
      <c r="C24" s="50" t="inlineStr">
        <is>
          <t>/security-dashboard</t>
        </is>
      </c>
      <c r="D24" s="59" t="inlineStr">
        <is>
          <t>NEGATIVE</t>
        </is>
      </c>
      <c r="E24" s="50" t="inlineStr">
        <is>
          <t>Wrong password attempt 4</t>
        </is>
      </c>
      <c r="F24" s="52" t="inlineStr">
        <is>
          <t>wrongpass4</t>
        </is>
      </c>
      <c r="G24" s="52" t="inlineStr"/>
      <c r="H24" s="50" t="inlineStr"/>
      <c r="I24" s="53" t="inlineStr"/>
      <c r="J24" s="50" t="inlineStr"/>
    </row>
    <row r="25" ht="18" customHeight="1">
      <c r="A25" s="47" t="n">
        <v>21</v>
      </c>
      <c r="B25" s="50" t="inlineStr">
        <is>
          <t>Security — Tenant</t>
        </is>
      </c>
      <c r="C25" s="50" t="inlineStr">
        <is>
          <t>/security-dashboard</t>
        </is>
      </c>
      <c r="D25" s="59" t="inlineStr">
        <is>
          <t>NEGATIVE</t>
        </is>
      </c>
      <c r="E25" s="50" t="inlineStr">
        <is>
          <t>Wrong password attempt 5</t>
        </is>
      </c>
      <c r="F25" s="52" t="inlineStr">
        <is>
          <t>wrongpass5</t>
        </is>
      </c>
      <c r="G25" s="52" t="inlineStr">
        <is>
          <t>5th failure</t>
        </is>
      </c>
      <c r="H25" s="50" t="inlineStr"/>
      <c r="I25" s="53" t="inlineStr"/>
      <c r="J25" s="50" t="inlineStr"/>
    </row>
    <row r="26" ht="18" customHeight="1">
      <c r="A26" s="47" t="n">
        <v>22</v>
      </c>
      <c r="B26" s="50" t="inlineStr">
        <is>
          <t>Security — Tenant</t>
        </is>
      </c>
      <c r="C26" s="50" t="inlineStr">
        <is>
          <t>/security-dashboard</t>
        </is>
      </c>
      <c r="D26" s="51" t="inlineStr">
        <is>
          <t>ASSERT</t>
        </is>
      </c>
      <c r="E26" s="50" t="inlineStr">
        <is>
          <t>Account locked</t>
        </is>
      </c>
      <c r="F26" s="52" t="inlineStr">
        <is>
          <t>⛔ Account locked for 15 minutes</t>
        </is>
      </c>
      <c r="G26" s="57" t="inlineStr">
        <is>
          <t>Lock triggers on 5th failure</t>
        </is>
      </c>
      <c r="H26" s="50" t="inlineStr"/>
      <c r="I26" s="53" t="inlineStr"/>
      <c r="J26" s="50" t="inlineStr">
        <is>
          <t>CRITICAL</t>
        </is>
      </c>
    </row>
    <row r="27" ht="18" customHeight="1">
      <c r="A27" s="47" t="n">
        <v>23</v>
      </c>
      <c r="B27" s="50" t="inlineStr">
        <is>
          <t>Security — Tenant</t>
        </is>
      </c>
      <c r="C27" s="50" t="inlineStr">
        <is>
          <t>/security-dashboard</t>
        </is>
      </c>
      <c r="D27" s="54" t="inlineStr">
        <is>
          <t>NAVIGATE</t>
        </is>
      </c>
      <c r="E27" s="50" t="inlineStr">
        <is>
          <t>Back to Security Dashboard</t>
        </is>
      </c>
      <c r="F27" s="52" t="inlineStr"/>
      <c r="G27" s="52" t="inlineStr"/>
      <c r="H27" s="50" t="inlineStr"/>
      <c r="I27" s="53" t="inlineStr"/>
      <c r="J27" s="50" t="inlineStr"/>
    </row>
    <row r="28" ht="18" customHeight="1">
      <c r="A28" s="47" t="n">
        <v>24</v>
      </c>
      <c r="B28" s="50" t="inlineStr">
        <is>
          <t>Security — Tenant</t>
        </is>
      </c>
      <c r="C28" s="50" t="inlineStr">
        <is>
          <t>/security-dashboard</t>
        </is>
      </c>
      <c r="D28" s="51" t="inlineStr">
        <is>
          <t>ASSERT</t>
        </is>
      </c>
      <c r="E28" s="50" t="inlineStr">
        <is>
          <t>Locked account visible</t>
        </is>
      </c>
      <c r="F28" s="52" t="inlineStr">
        <is>
          <t>Prakash Kumar — Locked until HH:MM</t>
        </is>
      </c>
      <c r="G28" s="57" t="inlineStr">
        <is>
          <t>Shows in MFA Management tab</t>
        </is>
      </c>
      <c r="H28" s="50" t="inlineStr"/>
      <c r="I28" s="53" t="inlineStr"/>
      <c r="J28" s="50" t="inlineStr"/>
    </row>
    <row r="29" ht="18" customHeight="1">
      <c r="A29" s="47" t="n">
        <v>25</v>
      </c>
      <c r="B29" s="50" t="inlineStr">
        <is>
          <t>Security — Tenant</t>
        </is>
      </c>
      <c r="C29" s="50" t="inlineStr">
        <is>
          <t>/security-dashboard</t>
        </is>
      </c>
      <c r="D29" s="55" t="inlineStr">
        <is>
          <t>CLICK</t>
        </is>
      </c>
      <c r="E29" s="50" t="inlineStr">
        <is>
          <t>Unlock Account — Prakash Kumar</t>
        </is>
      </c>
      <c r="F29" s="52" t="inlineStr"/>
      <c r="G29" s="52" t="inlineStr">
        <is>
          <t>Admin unlocks early</t>
        </is>
      </c>
      <c r="H29" s="50" t="inlineStr"/>
      <c r="I29" s="53" t="inlineStr"/>
      <c r="J29" s="50" t="inlineStr"/>
    </row>
    <row r="30" ht="18" customHeight="1">
      <c r="A30" s="47" t="n">
        <v>26</v>
      </c>
      <c r="B30" s="50" t="inlineStr">
        <is>
          <t>Security — Tenant</t>
        </is>
      </c>
      <c r="C30" s="50" t="inlineStr">
        <is>
          <t>/security-dashboard</t>
        </is>
      </c>
      <c r="D30" s="51" t="inlineStr">
        <is>
          <t>ASSERT</t>
        </is>
      </c>
      <c r="E30" s="50" t="inlineStr">
        <is>
          <t>Account unlocked</t>
        </is>
      </c>
      <c r="F30" s="52" t="inlineStr">
        <is>
          <t>Prakash can now login</t>
        </is>
      </c>
      <c r="G30" s="57" t="inlineStr"/>
      <c r="H30" s="50" t="inlineStr"/>
      <c r="I30" s="53" t="inlineStr"/>
      <c r="J30" s="50" t="inlineStr"/>
    </row>
    <row r="31" ht="16" customHeight="1">
      <c r="A31" s="70" t="inlineStr">
        <is>
          <t xml:space="preserve">  ▸  — IP ALLOWLIST —</t>
        </is>
      </c>
    </row>
    <row r="32" ht="18" customHeight="1">
      <c r="A32" s="47" t="n">
        <v>28</v>
      </c>
      <c r="B32" s="50" t="inlineStr">
        <is>
          <t>Security — Tenant</t>
        </is>
      </c>
      <c r="C32" s="50" t="inlineStr">
        <is>
          <t>/security-dashboard</t>
        </is>
      </c>
      <c r="D32" s="55" t="inlineStr">
        <is>
          <t>CLICK</t>
        </is>
      </c>
      <c r="E32" s="50" t="inlineStr">
        <is>
          <t>IP Allowlist tab</t>
        </is>
      </c>
      <c r="F32" s="52" t="inlineStr"/>
      <c r="G32" s="52" t="inlineStr">
        <is>
          <t>IP allowlist screen</t>
        </is>
      </c>
      <c r="H32" s="50" t="inlineStr"/>
      <c r="I32" s="53" t="inlineStr"/>
      <c r="J32" s="50" t="inlineStr"/>
    </row>
    <row r="33" ht="18" customHeight="1">
      <c r="A33" s="47" t="n">
        <v>29</v>
      </c>
      <c r="B33" s="50" t="inlineStr">
        <is>
          <t>Security — Tenant</t>
        </is>
      </c>
      <c r="C33" s="50" t="inlineStr">
        <is>
          <t>/security-dashboard</t>
        </is>
      </c>
      <c r="D33" s="51" t="inlineStr">
        <is>
          <t>ASSERT</t>
        </is>
      </c>
      <c r="E33" s="50" t="inlineStr">
        <is>
          <t>Current IP shown</t>
        </is>
      </c>
      <c r="F33" s="52" t="inlineStr">
        <is>
          <t>Your IP: x.x.x.x</t>
        </is>
      </c>
      <c r="G33" s="57" t="inlineStr">
        <is>
          <t>Auto-detected</t>
        </is>
      </c>
      <c r="H33" s="50" t="inlineStr"/>
      <c r="I33" s="53" t="inlineStr"/>
      <c r="J33" s="50" t="inlineStr"/>
    </row>
    <row r="34" ht="18" customHeight="1">
      <c r="A34" s="47" t="n">
        <v>30</v>
      </c>
      <c r="B34" s="50" t="inlineStr">
        <is>
          <t>Security — Tenant</t>
        </is>
      </c>
      <c r="C34" s="50" t="inlineStr">
        <is>
          <t>/security-dashboard</t>
        </is>
      </c>
      <c r="D34" s="55" t="inlineStr">
        <is>
          <t>CLICK</t>
        </is>
      </c>
      <c r="E34" s="50" t="inlineStr">
        <is>
          <t>Add Current IP</t>
        </is>
      </c>
      <c r="F34" s="52" t="inlineStr"/>
      <c r="G34" s="52" t="inlineStr">
        <is>
          <t>Current IP range added</t>
        </is>
      </c>
      <c r="H34" s="50" t="inlineStr"/>
      <c r="I34" s="53" t="inlineStr"/>
      <c r="J34" s="50" t="inlineStr"/>
    </row>
    <row r="35" ht="18" customHeight="1">
      <c r="A35" s="47" t="n">
        <v>31</v>
      </c>
      <c r="B35" s="50" t="inlineStr">
        <is>
          <t>Security — Tenant</t>
        </is>
      </c>
      <c r="C35" s="50" t="inlineStr">
        <is>
          <t>/security-dashboard</t>
        </is>
      </c>
      <c r="D35" s="56" t="inlineStr">
        <is>
          <t>ENTER</t>
        </is>
      </c>
      <c r="E35" s="50" t="inlineStr">
        <is>
          <t>Label</t>
        </is>
      </c>
      <c r="F35" s="52" t="inlineStr">
        <is>
          <t>Office — Hyderabad</t>
        </is>
      </c>
      <c r="G35" s="52" t="inlineStr"/>
      <c r="H35" s="50" t="inlineStr"/>
      <c r="I35" s="53" t="inlineStr"/>
      <c r="J35" s="50" t="inlineStr"/>
    </row>
    <row r="36" ht="18" customHeight="1">
      <c r="A36" s="47" t="n">
        <v>32</v>
      </c>
      <c r="B36" s="50" t="inlineStr">
        <is>
          <t>Security — Tenant</t>
        </is>
      </c>
      <c r="C36" s="50" t="inlineStr">
        <is>
          <t>/security-dashboard</t>
        </is>
      </c>
      <c r="D36" s="55" t="inlineStr">
        <is>
          <t>CLICK</t>
        </is>
      </c>
      <c r="E36" s="50" t="inlineStr">
        <is>
          <t>Save</t>
        </is>
      </c>
      <c r="F36" s="52" t="inlineStr"/>
      <c r="G36" s="52" t="inlineStr">
        <is>
          <t>IP allowlist active</t>
        </is>
      </c>
      <c r="H36" s="50" t="inlineStr"/>
      <c r="I36" s="53" t="inlineStr"/>
      <c r="J36" s="50" t="inlineStr"/>
    </row>
    <row r="37" ht="32" customHeight="1">
      <c r="A37" s="47" t="n">
        <v>33</v>
      </c>
      <c r="B37" s="50" t="inlineStr">
        <is>
          <t>Security — Tenant</t>
        </is>
      </c>
      <c r="C37" s="50" t="inlineStr">
        <is>
          <t>/security-dashboard</t>
        </is>
      </c>
      <c r="D37" s="51" t="inlineStr">
        <is>
          <t>ASSERT</t>
        </is>
      </c>
      <c r="E37" s="50" t="inlineStr">
        <is>
          <t>Warning shown</t>
        </is>
      </c>
      <c r="F37" s="52" t="inlineStr">
        <is>
          <t>⚠ Only IPs in this list can access. Ensure your IP is included.</t>
        </is>
      </c>
      <c r="G37" s="57" t="inlineStr">
        <is>
          <t>Critical warning</t>
        </is>
      </c>
      <c r="H37" s="50" t="inlineStr"/>
      <c r="I37" s="53" t="inlineStr"/>
      <c r="J37" s="50" t="inlineStr"/>
    </row>
    <row r="38" ht="18" customHeight="1">
      <c r="A38" s="47" t="n">
        <v>34</v>
      </c>
      <c r="B38" s="50" t="inlineStr">
        <is>
          <t>Security — Tenant</t>
        </is>
      </c>
      <c r="C38" s="50" t="inlineStr">
        <is>
          <t>/security-dashboard</t>
        </is>
      </c>
      <c r="D38" s="59" t="inlineStr">
        <is>
          <t>NEGATIVE</t>
        </is>
      </c>
      <c r="E38" s="50" t="inlineStr">
        <is>
          <t>Test from blocked IP (use VPN)</t>
        </is>
      </c>
      <c r="F38" s="52" t="inlineStr">
        <is>
          <t>Different IP not in allowlist</t>
        </is>
      </c>
      <c r="G38" s="52" t="inlineStr">
        <is>
          <t>Simulate different location</t>
        </is>
      </c>
      <c r="H38" s="50" t="inlineStr"/>
      <c r="I38" s="53" t="inlineStr"/>
      <c r="J38" s="50" t="inlineStr"/>
    </row>
    <row r="39" ht="18" customHeight="1">
      <c r="A39" s="47" t="n">
        <v>35</v>
      </c>
      <c r="B39" s="50" t="inlineStr">
        <is>
          <t>Security — Tenant</t>
        </is>
      </c>
      <c r="C39" s="50" t="inlineStr">
        <is>
          <t>/security-dashboard</t>
        </is>
      </c>
      <c r="D39" s="51" t="inlineStr">
        <is>
          <t>ASSERT</t>
        </is>
      </c>
      <c r="E39" s="50" t="inlineStr">
        <is>
          <t>Access blocked</t>
        </is>
      </c>
      <c r="F39" s="52" t="inlineStr">
        <is>
          <t>403 — Your IP is not allowed</t>
        </is>
      </c>
      <c r="G39" s="57" t="inlineStr">
        <is>
          <t>IP restriction working</t>
        </is>
      </c>
      <c r="H39" s="50" t="inlineStr"/>
      <c r="I39" s="53" t="inlineStr"/>
      <c r="J39" s="50" t="inlineStr">
        <is>
          <t>CRITICAL</t>
        </is>
      </c>
    </row>
    <row r="40" ht="18" customHeight="1">
      <c r="A40" s="47" t="n">
        <v>36</v>
      </c>
      <c r="B40" s="50" t="inlineStr">
        <is>
          <t>Security — Tenant</t>
        </is>
      </c>
      <c r="C40" s="50" t="inlineStr">
        <is>
          <t>/security-dashboard</t>
        </is>
      </c>
      <c r="D40" s="55" t="inlineStr">
        <is>
          <t>CLICK</t>
        </is>
      </c>
      <c r="E40" s="50" t="inlineStr">
        <is>
          <t>Remove IP restriction (clear list)</t>
        </is>
      </c>
      <c r="F40" s="52" t="inlineStr"/>
      <c r="G40" s="52" t="inlineStr">
        <is>
          <t>Restore open access for testing</t>
        </is>
      </c>
      <c r="H40" s="50" t="inlineStr"/>
      <c r="I40" s="53" t="inlineStr"/>
      <c r="J40" s="50" t="inlineStr"/>
    </row>
    <row r="41" ht="16" customHeight="1">
      <c r="A41" s="70" t="inlineStr">
        <is>
          <t xml:space="preserve">  ▸  — ACTIVE SESSIONS + AUDIT TRAIL —</t>
        </is>
      </c>
    </row>
    <row r="42" ht="18" customHeight="1">
      <c r="A42" s="47" t="n">
        <v>38</v>
      </c>
      <c r="B42" s="50" t="inlineStr">
        <is>
          <t>Security — Tenant</t>
        </is>
      </c>
      <c r="C42" s="50" t="inlineStr">
        <is>
          <t>/security-dashboard</t>
        </is>
      </c>
      <c r="D42" s="55" t="inlineStr">
        <is>
          <t>CLICK</t>
        </is>
      </c>
      <c r="E42" s="50" t="inlineStr">
        <is>
          <t>Active Sessions tab</t>
        </is>
      </c>
      <c r="F42" s="52" t="inlineStr"/>
      <c r="G42" s="52" t="inlineStr">
        <is>
          <t>Sessions list</t>
        </is>
      </c>
      <c r="H42" s="50" t="inlineStr"/>
      <c r="I42" s="53" t="inlineStr"/>
      <c r="J42" s="50" t="inlineStr"/>
    </row>
    <row r="43" ht="18" customHeight="1">
      <c r="A43" s="47" t="n">
        <v>39</v>
      </c>
      <c r="B43" s="50" t="inlineStr">
        <is>
          <t>Security — Tenant</t>
        </is>
      </c>
      <c r="C43" s="50" t="inlineStr">
        <is>
          <t>/security-dashboard</t>
        </is>
      </c>
      <c r="D43" s="51" t="inlineStr">
        <is>
          <t>ASSERT</t>
        </is>
      </c>
      <c r="E43" s="50" t="inlineStr">
        <is>
          <t>Admin session visible</t>
        </is>
      </c>
      <c r="F43" s="52" t="inlineStr">
        <is>
          <t>Current session — IP, browser, login time</t>
        </is>
      </c>
      <c r="G43" s="57" t="inlineStr"/>
      <c r="H43" s="50" t="inlineStr"/>
      <c r="I43" s="53" t="inlineStr"/>
      <c r="J43" s="50" t="inlineStr"/>
    </row>
    <row r="44" ht="18" customHeight="1">
      <c r="A44" s="47" t="n">
        <v>40</v>
      </c>
      <c r="B44" s="50" t="inlineStr">
        <is>
          <t>Security — Tenant</t>
        </is>
      </c>
      <c r="C44" s="50" t="inlineStr">
        <is>
          <t>/security-dashboard</t>
        </is>
      </c>
      <c r="D44" s="55" t="inlineStr">
        <is>
          <t>CLICK</t>
        </is>
      </c>
      <c r="E44" s="50" t="inlineStr">
        <is>
          <t>Revoke Prakash session</t>
        </is>
      </c>
      <c r="F44" s="52" t="inlineStr"/>
      <c r="G44" s="52" t="inlineStr">
        <is>
          <t>Prakash logged out immediately</t>
        </is>
      </c>
      <c r="H44" s="50" t="inlineStr"/>
      <c r="I44" s="53" t="inlineStr"/>
      <c r="J44" s="50" t="inlineStr"/>
    </row>
    <row r="45" ht="18" customHeight="1">
      <c r="A45" s="47" t="n">
        <v>41</v>
      </c>
      <c r="B45" s="50" t="inlineStr">
        <is>
          <t>Security — Tenant</t>
        </is>
      </c>
      <c r="C45" s="50" t="inlineStr">
        <is>
          <t>/security-dashboard</t>
        </is>
      </c>
      <c r="D45" s="51" t="inlineStr">
        <is>
          <t>ASSERT</t>
        </is>
      </c>
      <c r="E45" s="50" t="inlineStr">
        <is>
          <t>Prakash session ended</t>
        </is>
      </c>
      <c r="F45" s="52" t="inlineStr">
        <is>
          <t>No longer in active sessions</t>
        </is>
      </c>
      <c r="G45" s="57" t="inlineStr"/>
      <c r="H45" s="50" t="inlineStr"/>
      <c r="I45" s="53" t="inlineStr"/>
      <c r="J45" s="50" t="inlineStr"/>
    </row>
    <row r="46" ht="18" customHeight="1">
      <c r="A46" s="47" t="n">
        <v>42</v>
      </c>
      <c r="B46" s="50" t="inlineStr">
        <is>
          <t>Security — Tenant</t>
        </is>
      </c>
      <c r="C46" s="50" t="inlineStr">
        <is>
          <t>/security-dashboard</t>
        </is>
      </c>
      <c r="D46" s="55" t="inlineStr">
        <is>
          <t>CLICK</t>
        </is>
      </c>
      <c r="E46" s="50" t="inlineStr">
        <is>
          <t>Security Events tab</t>
        </is>
      </c>
      <c r="F46" s="52" t="inlineStr"/>
      <c r="G46" s="52" t="inlineStr">
        <is>
          <t>Security events log</t>
        </is>
      </c>
      <c r="H46" s="50" t="inlineStr"/>
      <c r="I46" s="53" t="inlineStr"/>
      <c r="J46" s="50" t="inlineStr"/>
    </row>
    <row r="47" ht="32" customHeight="1">
      <c r="A47" s="47" t="n">
        <v>43</v>
      </c>
      <c r="B47" s="50" t="inlineStr">
        <is>
          <t>Security — Tenant</t>
        </is>
      </c>
      <c r="C47" s="50" t="inlineStr">
        <is>
          <t>/security-dashboard</t>
        </is>
      </c>
      <c r="D47" s="51" t="inlineStr">
        <is>
          <t>ASSERT</t>
        </is>
      </c>
      <c r="E47" s="50" t="inlineStr">
        <is>
          <t>Failed logins logged</t>
        </is>
      </c>
      <c r="F47" s="52" t="inlineStr">
        <is>
          <t>5 failed attempts for Prakash — all logged with IP</t>
        </is>
      </c>
      <c r="G47" s="57" t="inlineStr"/>
      <c r="H47" s="50" t="inlineStr"/>
      <c r="I47" s="53" t="inlineStr"/>
      <c r="J47" s="50" t="inlineStr"/>
    </row>
    <row r="48" ht="18" customHeight="1">
      <c r="A48" s="47" t="n">
        <v>44</v>
      </c>
      <c r="B48" s="50" t="inlineStr">
        <is>
          <t>Security — Tenant</t>
        </is>
      </c>
      <c r="C48" s="50" t="inlineStr">
        <is>
          <t>/security-dashboard</t>
        </is>
      </c>
      <c r="D48" s="51" t="inlineStr">
        <is>
          <t>ASSERT</t>
        </is>
      </c>
      <c r="E48" s="50" t="inlineStr">
        <is>
          <t>Account lock event logged</t>
        </is>
      </c>
      <c r="F48" s="52" t="inlineStr">
        <is>
          <t>Lockout event at HH:MM</t>
        </is>
      </c>
      <c r="G48" s="57" t="inlineStr"/>
      <c r="H48" s="50" t="inlineStr"/>
      <c r="I48" s="53" t="inlineStr"/>
      <c r="J48" s="50" t="inlineStr"/>
    </row>
    <row r="49" ht="18" customHeight="1">
      <c r="A49" s="47" t="n">
        <v>45</v>
      </c>
      <c r="B49" s="50" t="inlineStr">
        <is>
          <t>Security — Tenant</t>
        </is>
      </c>
      <c r="C49" s="50" t="inlineStr">
        <is>
          <t>/security-dashboard</t>
        </is>
      </c>
      <c r="D49" s="51" t="inlineStr">
        <is>
          <t>ASSERT</t>
        </is>
      </c>
      <c r="E49" s="50" t="inlineStr">
        <is>
          <t>MFA events logged</t>
        </is>
      </c>
      <c r="F49" s="52" t="inlineStr">
        <is>
          <t>MFA enrolled, MFA enforced — both logged</t>
        </is>
      </c>
      <c r="G49" s="57" t="inlineStr"/>
      <c r="H49" s="50" t="inlineStr"/>
      <c r="I49" s="53" t="inlineStr"/>
      <c r="J49" s="50" t="inlineStr"/>
    </row>
    <row r="50" ht="18" customHeight="1">
      <c r="A50" s="47" t="n">
        <v>46</v>
      </c>
      <c r="B50" s="50" t="inlineStr">
        <is>
          <t>Audit Trail</t>
        </is>
      </c>
      <c r="C50" s="50" t="inlineStr">
        <is>
          <t>/audit-log</t>
        </is>
      </c>
      <c r="D50" s="54" t="inlineStr">
        <is>
          <t>NAVIGATE</t>
        </is>
      </c>
      <c r="E50" s="50" t="inlineStr"/>
      <c r="F50" s="52" t="inlineStr"/>
      <c r="G50" s="52" t="inlineStr">
        <is>
          <t>Audit trail screen</t>
        </is>
      </c>
      <c r="H50" s="50" t="inlineStr"/>
      <c r="I50" s="53" t="inlineStr"/>
      <c r="J50" s="50" t="inlineStr"/>
    </row>
    <row r="51" ht="32" customHeight="1">
      <c r="A51" s="47" t="n">
        <v>47</v>
      </c>
      <c r="B51" s="50" t="inlineStr">
        <is>
          <t>Audit Trail</t>
        </is>
      </c>
      <c r="C51" s="50" t="inlineStr">
        <is>
          <t>/audit-log</t>
        </is>
      </c>
      <c r="D51" s="51" t="inlineStr">
        <is>
          <t>ASSERT</t>
        </is>
      </c>
      <c r="E51" s="50" t="inlineStr">
        <is>
          <t>Settings changes logged</t>
        </is>
      </c>
      <c r="F51" s="52" t="inlineStr">
        <is>
          <t>Company settings update, Role creation, API key creation</t>
        </is>
      </c>
      <c r="G51" s="57" t="inlineStr">
        <is>
          <t>All admin actions audited</t>
        </is>
      </c>
      <c r="H51" s="50" t="inlineStr"/>
      <c r="I51" s="53" t="inlineStr"/>
      <c r="J51" s="50" t="inlineStr"/>
    </row>
    <row r="52" ht="18" customHeight="1">
      <c r="A52" s="47" t="n">
        <v>48</v>
      </c>
      <c r="B52" s="50" t="inlineStr">
        <is>
          <t>Audit Trail</t>
        </is>
      </c>
      <c r="C52" s="50" t="inlineStr">
        <is>
          <t>/audit-log</t>
        </is>
      </c>
      <c r="D52" s="55" t="inlineStr">
        <is>
          <t>CLICK</t>
        </is>
      </c>
      <c r="E52" s="50" t="inlineStr">
        <is>
          <t>Export Audit Report</t>
        </is>
      </c>
      <c r="F52" s="52" t="inlineStr"/>
      <c r="G52" s="52" t="inlineStr">
        <is>
          <t>PDF/Excel exported</t>
        </is>
      </c>
      <c r="H52" s="50" t="inlineStr"/>
      <c r="I52" s="53" t="inlineStr"/>
      <c r="J52" s="50" t="inlineStr"/>
    </row>
    <row r="53" ht="18" customHeight="1">
      <c r="A53" s="47" t="n">
        <v>49</v>
      </c>
      <c r="B53" s="50" t="inlineStr">
        <is>
          <t>Audit Trail</t>
        </is>
      </c>
      <c r="C53" s="50" t="inlineStr">
        <is>
          <t>/audit-log</t>
        </is>
      </c>
      <c r="D53" s="51" t="inlineStr">
        <is>
          <t>ASSERT</t>
        </is>
      </c>
      <c r="E53" s="50" t="inlineStr">
        <is>
          <t>Export itself logged</t>
        </is>
      </c>
      <c r="F53" s="52" t="inlineStr">
        <is>
          <t>'Audit report exported by admin at HH:MM'</t>
        </is>
      </c>
      <c r="G53" s="57" t="inlineStr">
        <is>
          <t>Audit of the audit</t>
        </is>
      </c>
      <c r="H53" s="50" t="inlineStr"/>
      <c r="I53" s="53" t="inlineStr"/>
      <c r="J53" s="50" t="inlineStr"/>
    </row>
    <row r="54" ht="18" customHeight="1">
      <c r="A54" s="47" t="n">
        <v>50</v>
      </c>
      <c r="B54" s="50" t="inlineStr">
        <is>
          <t>Audit Trail</t>
        </is>
      </c>
      <c r="C54" s="50" t="inlineStr">
        <is>
          <t>/audit-log</t>
        </is>
      </c>
      <c r="D54" s="59" t="inlineStr">
        <is>
          <t>NEGATIVE</t>
        </is>
      </c>
      <c r="E54" s="50" t="inlineStr">
        <is>
          <t>Try to delete audit log record</t>
        </is>
      </c>
      <c r="F54" s="52" t="inlineStr">
        <is>
          <t>Delete button should not exist</t>
        </is>
      </c>
      <c r="G54" s="52" t="inlineStr">
        <is>
          <t>Immutable — no delete allowed</t>
        </is>
      </c>
      <c r="H54" s="50" t="inlineStr"/>
      <c r="I54" s="53" t="inlineStr"/>
      <c r="J54" s="50" t="inlineStr">
        <is>
          <t>CRITICAL</t>
        </is>
      </c>
    </row>
    <row r="55" ht="18" customHeight="1">
      <c r="A55" s="47" t="n">
        <v>51</v>
      </c>
      <c r="B55" s="50" t="inlineStr">
        <is>
          <t>Audit Trail</t>
        </is>
      </c>
      <c r="C55" s="50" t="inlineStr">
        <is>
          <t>/audit-log</t>
        </is>
      </c>
      <c r="D55" s="51" t="inlineStr">
        <is>
          <t>ASSERT</t>
        </is>
      </c>
      <c r="E55" s="50" t="inlineStr">
        <is>
          <t>No delete option</t>
        </is>
      </c>
      <c r="F55" s="52" t="inlineStr">
        <is>
          <t>Delete button absent on audit trail rows</t>
        </is>
      </c>
      <c r="G55" s="57" t="inlineStr">
        <is>
          <t>Postgres trigger blocks delete</t>
        </is>
      </c>
      <c r="H55" s="50" t="inlineStr"/>
      <c r="I55" s="53" t="inlineStr"/>
      <c r="J55" s="50" t="inlineStr"/>
    </row>
  </sheetData>
  <mergeCells count="6">
    <mergeCell ref="A1:J1"/>
    <mergeCell ref="A31:J31"/>
    <mergeCell ref="A8:J8"/>
    <mergeCell ref="A18:J18"/>
    <mergeCell ref="A2:J2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2026-05-08T02:46:38Z</dcterms:created>
  <dcterms:modified xmlns:dcterms="http://purl.org/dc/terms/" xmlns:xsi="http://www.w3.org/2001/XMLSchema-instance" xsi:type="dcterms:W3CDTF">2026-05-08T08:35:32Z</dcterms:modified>
</cp:coreProperties>
</file>